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Desktop\Parental+Leave\"/>
    </mc:Choice>
  </mc:AlternateContent>
  <xr:revisionPtr revIDLastSave="0" documentId="13_ncr:9_{472A44A5-A940-488C-843C-5509B7E031E3}" xr6:coauthVersionLast="47" xr6:coauthVersionMax="47" xr10:uidLastSave="{00000000-0000-0000-0000-000000000000}"/>
  <bookViews>
    <workbookView xWindow="0" yWindow="0" windowWidth="20490" windowHeight="11175" xr2:uid="{62C238A3-CF86-47E7-B097-A325CDFFCC2E}"/>
  </bookViews>
  <sheets>
    <sheet name="% of leaves" sheetId="2" r:id="rId1"/>
    <sheet name="data_dictionary" sheetId="1" r:id="rId2"/>
  </sheets>
  <calcPr calcId="0"/>
  <pivotCaches>
    <pivotCache cacheId="7" r:id="rId3"/>
  </pivotCaches>
</workbook>
</file>

<file path=xl/calcChain.xml><?xml version="1.0" encoding="utf-8"?>
<calcChain xmlns="http://schemas.openxmlformats.org/spreadsheetml/2006/main">
  <c r="G388" i="2" l="1"/>
  <c r="F387" i="2"/>
  <c r="E386" i="2"/>
  <c r="D385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2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<sst xmlns="http://schemas.openxmlformats.org/spreadsheetml/2006/main" count="3604" uniqueCount="1809">
  <si>
    <t>Company</t>
  </si>
  <si>
    <t>Industry</t>
  </si>
  <si>
    <t>Paid Maternity Leave</t>
  </si>
  <si>
    <t>Unpaid Maternity Leave</t>
  </si>
  <si>
    <t>Paid Paternity Leave</t>
  </si>
  <si>
    <t>Unpaid Paternity Leave</t>
  </si>
  <si>
    <t>Total Maternity Leave</t>
  </si>
  <si>
    <t>Total Paternity Leave</t>
  </si>
  <si>
    <t>Epsilon</t>
  </si>
  <si>
    <t>Advertising</t>
  </si>
  <si>
    <t>The Walt Disney Company</t>
  </si>
  <si>
    <t>Arts &amp; Entertainment</t>
  </si>
  <si>
    <t>Guild Education</t>
  </si>
  <si>
    <t>Business Services: Other</t>
  </si>
  <si>
    <t>WeWork</t>
  </si>
  <si>
    <t>Randstad USA</t>
  </si>
  <si>
    <t>Business Services: Staffing &amp; Outsourcing</t>
  </si>
  <si>
    <t>Bain &amp; Company</t>
  </si>
  <si>
    <t>Consulting Services</t>
  </si>
  <si>
    <t>World 50</t>
  </si>
  <si>
    <t>ConAgra Foods, Inc.</t>
  </si>
  <si>
    <t>Consumer Packaged Goods: Packaged Foods</t>
  </si>
  <si>
    <t>Anduril Industries</t>
  </si>
  <si>
    <t>Defense &amp; Space</t>
  </si>
  <si>
    <t>Northrop Grumman</t>
  </si>
  <si>
    <t>The University of Vermont</t>
  </si>
  <si>
    <t>Educational Services: College &amp; Universities</t>
  </si>
  <si>
    <t>Belden</t>
  </si>
  <si>
    <t>Electronics: Manufacturing</t>
  </si>
  <si>
    <t>Motorola Solutions</t>
  </si>
  <si>
    <t>MFS Investment Management</t>
  </si>
  <si>
    <t>Finance: Asset Management</t>
  </si>
  <si>
    <t>PIMCO</t>
  </si>
  <si>
    <t>Sandia National Laboratories</t>
  </si>
  <si>
    <t>Government: Contractor</t>
  </si>
  <si>
    <t>Los Angeles County</t>
  </si>
  <si>
    <t>Government: County</t>
  </si>
  <si>
    <t>Federal Reserve Bank of Chicago</t>
  </si>
  <si>
    <t>Government: Federal</t>
  </si>
  <si>
    <t>Southern Health Partners</t>
  </si>
  <si>
    <t>Healthcare: Diversified</t>
  </si>
  <si>
    <t>Denver Health Medical Center</t>
  </si>
  <si>
    <t>Healthcare: Hospitals &amp; Clinics</t>
  </si>
  <si>
    <t>Kohler Co.</t>
  </si>
  <si>
    <t>Industrial: Equipment Manufacturing</t>
  </si>
  <si>
    <t>UnitedHealth Group</t>
  </si>
  <si>
    <t>Insurance: Health</t>
  </si>
  <si>
    <t>TEGNA</t>
  </si>
  <si>
    <t>Media: Television</t>
  </si>
  <si>
    <t>BHP Billiton Ltd.</t>
  </si>
  <si>
    <t>Natural Resources: Metals &amp; Mining</t>
  </si>
  <si>
    <t>Roman Catholic Archdiocese of Philadelphia</t>
  </si>
  <si>
    <t>Nonprofit: Religious</t>
  </si>
  <si>
    <t>Bristol Myers Squibb</t>
  </si>
  <si>
    <t>Pharmaceutical</t>
  </si>
  <si>
    <t>Walgreens</t>
  </si>
  <si>
    <t>Pharmacies &amp; Drug Stores</t>
  </si>
  <si>
    <t>Invitation Homes</t>
  </si>
  <si>
    <t>Real Estate</t>
  </si>
  <si>
    <t>Cushman &amp; Wakefield</t>
  </si>
  <si>
    <t>Real Estate: Development &amp; Management</t>
  </si>
  <si>
    <t>L Brands, Inc.</t>
  </si>
  <si>
    <t>Retail: Shoes, Accessories and Apparel</t>
  </si>
  <si>
    <t>Chronosphere</t>
  </si>
  <si>
    <t>Technology: B2B Tech Services</t>
  </si>
  <si>
    <t>Dropbox</t>
  </si>
  <si>
    <t>Technology: Consumer Internet</t>
  </si>
  <si>
    <t>Fairygodboss Inc.</t>
  </si>
  <si>
    <t>SiriusXM &amp; Pandora</t>
  </si>
  <si>
    <t>Stack Overflow</t>
  </si>
  <si>
    <t>Electronic Arts</t>
  </si>
  <si>
    <t>Technology: Gaming</t>
  </si>
  <si>
    <t>Ginkgo Bioworks</t>
  </si>
  <si>
    <t>Technology: Research</t>
  </si>
  <si>
    <t>Avalara</t>
  </si>
  <si>
    <t>Technology: Software</t>
  </si>
  <si>
    <t>Cornerstone OnDemand</t>
  </si>
  <si>
    <t>ExamSoft Worldwide, Inc.</t>
  </si>
  <si>
    <t>Medidata Solutions</t>
  </si>
  <si>
    <t>Sulzer US, LLC</t>
  </si>
  <si>
    <t>Thryv</t>
  </si>
  <si>
    <t>T-Mobile</t>
  </si>
  <si>
    <t>Telecommunications</t>
  </si>
  <si>
    <t>CBIZ</t>
  </si>
  <si>
    <t>Accounting Services</t>
  </si>
  <si>
    <t>CliftonLarsonAllen</t>
  </si>
  <si>
    <t>Forvis</t>
  </si>
  <si>
    <t>Grant Thornton</t>
  </si>
  <si>
    <t>RSM US</t>
  </si>
  <si>
    <t>LiveRamp</t>
  </si>
  <si>
    <t>Boeing</t>
  </si>
  <si>
    <t>Aerospace</t>
  </si>
  <si>
    <t>Cessna Aircraft Company</t>
  </si>
  <si>
    <t>Collins Aerospace</t>
  </si>
  <si>
    <t>Lockheed Martin Corporation</t>
  </si>
  <si>
    <t>FCA US LLC</t>
  </si>
  <si>
    <t>Automotive: Manufacturers</t>
  </si>
  <si>
    <t>Ford Motor Company</t>
  </si>
  <si>
    <t>General Motors</t>
  </si>
  <si>
    <t>Toyota North America</t>
  </si>
  <si>
    <t>Johnson Controls</t>
  </si>
  <si>
    <t>Automotive: Parts Manufacturing</t>
  </si>
  <si>
    <t>ADP</t>
  </si>
  <si>
    <t>Business Services: Human Resources</t>
  </si>
  <si>
    <t>IHS Markit Ltd.</t>
  </si>
  <si>
    <t>Samsung Research America</t>
  </si>
  <si>
    <t>Adecco Group North America</t>
  </si>
  <si>
    <t>CGI</t>
  </si>
  <si>
    <t>Business Services: Technology Solutions</t>
  </si>
  <si>
    <t>Paychex</t>
  </si>
  <si>
    <t>Ecolab, Inc.</t>
  </si>
  <si>
    <t>Conglomerate</t>
  </si>
  <si>
    <t>Siemens</t>
  </si>
  <si>
    <t>84.51¡</t>
  </si>
  <si>
    <t>Boston Consulting Group</t>
  </si>
  <si>
    <t>Deloitte</t>
  </si>
  <si>
    <t>KPMG</t>
  </si>
  <si>
    <t>McKinsey &amp; Company</t>
  </si>
  <si>
    <t>Pariveda</t>
  </si>
  <si>
    <t>Protiviti</t>
  </si>
  <si>
    <t>Slalom</t>
  </si>
  <si>
    <t>Campari America</t>
  </si>
  <si>
    <t>Consumer Packaged Goods: Beverages</t>
  </si>
  <si>
    <t>Miller Coors</t>
  </si>
  <si>
    <t>General Mills</t>
  </si>
  <si>
    <t>Mondelez International, Inc.</t>
  </si>
  <si>
    <t>Johnson &amp; Johnson</t>
  </si>
  <si>
    <t>Consumer Packaged Goods: Packaged Products</t>
  </si>
  <si>
    <t>Reckitt Benckiser</t>
  </si>
  <si>
    <t>Unilever</t>
  </si>
  <si>
    <t>Hasbro Inc.</t>
  </si>
  <si>
    <t>Consumer Packaged Goods: Toys &amp; Baby Products</t>
  </si>
  <si>
    <t>L'OrŽal USA</t>
  </si>
  <si>
    <t>Cosmetics</t>
  </si>
  <si>
    <t>Raytheon Technologies</t>
  </si>
  <si>
    <t>Rice University</t>
  </si>
  <si>
    <t>University of Minnesota</t>
  </si>
  <si>
    <t>Walden University</t>
  </si>
  <si>
    <t>Cengage Learning</t>
  </si>
  <si>
    <t>Educational Services: E-Learning</t>
  </si>
  <si>
    <t>Samsung Electronics</t>
  </si>
  <si>
    <t>Apollo Global Management</t>
  </si>
  <si>
    <t>Capital Group</t>
  </si>
  <si>
    <t>Merrill</t>
  </si>
  <si>
    <t>Discover Financial Services</t>
  </si>
  <si>
    <t>Finance: Credit &amp; Fund Services</t>
  </si>
  <si>
    <t>Mastercard</t>
  </si>
  <si>
    <t>Ally Financial</t>
  </si>
  <si>
    <t>Finance: Diversified</t>
  </si>
  <si>
    <t>Ameriprise Financial</t>
  </si>
  <si>
    <t>Charles Schwab</t>
  </si>
  <si>
    <t>Citigroup</t>
  </si>
  <si>
    <t>Deutsche Bank</t>
  </si>
  <si>
    <t>DTCC</t>
  </si>
  <si>
    <t>Goldman Sachs</t>
  </si>
  <si>
    <t>Macquarie Group</t>
  </si>
  <si>
    <t>Northern Trust</t>
  </si>
  <si>
    <t>Raymond James</t>
  </si>
  <si>
    <t>RBC Wealth Management</t>
  </si>
  <si>
    <t>Silicon Valley Bank</t>
  </si>
  <si>
    <t>UBS</t>
  </si>
  <si>
    <t>Wells Fargo</t>
  </si>
  <si>
    <t>William Blair</t>
  </si>
  <si>
    <t>SoFi</t>
  </si>
  <si>
    <t>Finance: Loans</t>
  </si>
  <si>
    <t>PNC Financial Services Group</t>
  </si>
  <si>
    <t>Finance: Personal &amp; Commercial Banking</t>
  </si>
  <si>
    <t>TD Bank</t>
  </si>
  <si>
    <t>TIAA Bank</t>
  </si>
  <si>
    <t>OECD</t>
  </si>
  <si>
    <t>Government: International</t>
  </si>
  <si>
    <t>Banfield Pet Hospital</t>
  </si>
  <si>
    <t>Healthcare: Animal Health</t>
  </si>
  <si>
    <t>Illumina</t>
  </si>
  <si>
    <t>Healthcare: Biotechnology</t>
  </si>
  <si>
    <t>Thermo Fisher Scientific</t>
  </si>
  <si>
    <t>CVS Health</t>
  </si>
  <si>
    <t>Fresenius</t>
  </si>
  <si>
    <t>Aurora Health Care</t>
  </si>
  <si>
    <t>Mayo Clinic</t>
  </si>
  <si>
    <t>Universal Health Services, Inc.</t>
  </si>
  <si>
    <t>University of Pittsburgh Medical Center</t>
  </si>
  <si>
    <t>Quest Diagnostics</t>
  </si>
  <si>
    <t>Healthcare: Laboratory Testing</t>
  </si>
  <si>
    <t>Becton, Dickinson and Company</t>
  </si>
  <si>
    <t>Healthcare: Medical Devices</t>
  </si>
  <si>
    <t>Medtronic</t>
  </si>
  <si>
    <t>Zimmer Biomet</t>
  </si>
  <si>
    <t>Flatiron Health</t>
  </si>
  <si>
    <t>Healthcare: Telemedicine</t>
  </si>
  <si>
    <t>Choice Hotels</t>
  </si>
  <si>
    <t>Hospitality: Hotels</t>
  </si>
  <si>
    <t>Marriott International</t>
  </si>
  <si>
    <t>McDonald's</t>
  </si>
  <si>
    <t>Hospitality: Restaurants</t>
  </si>
  <si>
    <t>Starbucks</t>
  </si>
  <si>
    <t>Perkins + Will</t>
  </si>
  <si>
    <t>Industrial: Architecture &amp; Design</t>
  </si>
  <si>
    <t>Owens Corning</t>
  </si>
  <si>
    <t>Industrial: Building Materials Manufacturing</t>
  </si>
  <si>
    <t>Power Home Remodeling</t>
  </si>
  <si>
    <t>Industrial: Construction Company</t>
  </si>
  <si>
    <t>3M</t>
  </si>
  <si>
    <t>Industrial: Diversified</t>
  </si>
  <si>
    <t>Parker Hannifin</t>
  </si>
  <si>
    <t>BEUMER Group</t>
  </si>
  <si>
    <t>Caterpillar</t>
  </si>
  <si>
    <t>CNH Industrial America</t>
  </si>
  <si>
    <t>Cummins</t>
  </si>
  <si>
    <t>Hilti Corporation</t>
  </si>
  <si>
    <t>nVent</t>
  </si>
  <si>
    <t>Rockwell Automation</t>
  </si>
  <si>
    <t>McMaster-Carr</t>
  </si>
  <si>
    <t>Industrial: Other</t>
  </si>
  <si>
    <t>Argus Media</t>
  </si>
  <si>
    <t>Information Services: Diversified</t>
  </si>
  <si>
    <t>LAC-Group</t>
  </si>
  <si>
    <t>S&amp;P Global</t>
  </si>
  <si>
    <t>Information Services: Financial</t>
  </si>
  <si>
    <t>DXC Technology</t>
  </si>
  <si>
    <t>Information Services: Technology</t>
  </si>
  <si>
    <t>Forrester Research</t>
  </si>
  <si>
    <t>General Dynamics Information Technology</t>
  </si>
  <si>
    <t>AON</t>
  </si>
  <si>
    <t>Insurance: Diversified</t>
  </si>
  <si>
    <t>Aetna</t>
  </si>
  <si>
    <t>Health Care Service Corporation</t>
  </si>
  <si>
    <t>Highmark Inc.</t>
  </si>
  <si>
    <t>Humana</t>
  </si>
  <si>
    <t>Kaiser Permanente</t>
  </si>
  <si>
    <t>Combined Insurance</t>
  </si>
  <si>
    <t>Insurance: Life</t>
  </si>
  <si>
    <t>Root Insurance</t>
  </si>
  <si>
    <t>Insurance: Property &amp; Casualty</t>
  </si>
  <si>
    <t>State Farm</t>
  </si>
  <si>
    <t>The Hanover Insurance Group</t>
  </si>
  <si>
    <t>Holland &amp; Knight LLP</t>
  </si>
  <si>
    <t>Law Firm</t>
  </si>
  <si>
    <t>Orrick, Herrington &amp; Sutcliffe LLP</t>
  </si>
  <si>
    <t>Expedia Group</t>
  </si>
  <si>
    <t>Leisure, Travel &amp; Tourism</t>
  </si>
  <si>
    <t>WarnerMedia</t>
  </si>
  <si>
    <t>Media: Diversified</t>
  </si>
  <si>
    <t>Cargill</t>
  </si>
  <si>
    <t>Natural Resources: Agriculture and Food Processing</t>
  </si>
  <si>
    <t>Air Liquide</t>
  </si>
  <si>
    <t>Natural Resources: Chemicals</t>
  </si>
  <si>
    <t>Dow</t>
  </si>
  <si>
    <t>Ineos</t>
  </si>
  <si>
    <t>Ingevity Corporation</t>
  </si>
  <si>
    <t>PolyOne Corporation</t>
  </si>
  <si>
    <t>Consumers Energy</t>
  </si>
  <si>
    <t>Natural Resources: Electric &amp; Gas Utility</t>
  </si>
  <si>
    <t>NextEra Energy</t>
  </si>
  <si>
    <t>Natural Resources: Electric Power Generation</t>
  </si>
  <si>
    <t>Chevron</t>
  </si>
  <si>
    <t>Natural Resources: Oil &amp; Gas</t>
  </si>
  <si>
    <t>Phillips 66</t>
  </si>
  <si>
    <t>Range Resources</t>
  </si>
  <si>
    <t>American Water</t>
  </si>
  <si>
    <t>Natural Resources: Renewables &amp; Environment</t>
  </si>
  <si>
    <t>Make-A-Wish Foundation</t>
  </si>
  <si>
    <t>Nonprofit: Charity</t>
  </si>
  <si>
    <t>Wikimedia Foundation</t>
  </si>
  <si>
    <t>Nonprofit: Education</t>
  </si>
  <si>
    <t>Girl Scouts of the USA</t>
  </si>
  <si>
    <t>Nonprofit: Human Rights Advocacy</t>
  </si>
  <si>
    <t>RAND Corporation</t>
  </si>
  <si>
    <t>Nonprofit: Public Policy</t>
  </si>
  <si>
    <t>The MITRE Corporation</t>
  </si>
  <si>
    <t>Nonprofit: Research</t>
  </si>
  <si>
    <t>Abbott Nutrition</t>
  </si>
  <si>
    <t>GlaxoSmithKline</t>
  </si>
  <si>
    <t>McKesson</t>
  </si>
  <si>
    <t>Vertex Pharmaceuticals</t>
  </si>
  <si>
    <t>Bill and Melinda Gates Foundation</t>
  </si>
  <si>
    <t>Philanthropy</t>
  </si>
  <si>
    <t>MOO</t>
  </si>
  <si>
    <t>Printing</t>
  </si>
  <si>
    <t>Elsevier</t>
  </si>
  <si>
    <t>Publishing</t>
  </si>
  <si>
    <t>Wiley Publishing</t>
  </si>
  <si>
    <t>Bidwells LLP</t>
  </si>
  <si>
    <t>Real Estate: Other</t>
  </si>
  <si>
    <t>Realtor.com</t>
  </si>
  <si>
    <t>Kohl's</t>
  </si>
  <si>
    <t>Retail: Department Store</t>
  </si>
  <si>
    <t>Home Depot</t>
  </si>
  <si>
    <t>Retail: Furniture &amp; Home Improvement</t>
  </si>
  <si>
    <t>Wayfair</t>
  </si>
  <si>
    <t>Columbia Sportswear</t>
  </si>
  <si>
    <t>Luxottica Group SpA</t>
  </si>
  <si>
    <t>Target</t>
  </si>
  <si>
    <t>Meijer</t>
  </si>
  <si>
    <t>Retail: Supermarket Company</t>
  </si>
  <si>
    <t>Publix Super Markets</t>
  </si>
  <si>
    <t>Athenahealth</t>
  </si>
  <si>
    <t>CDW Corporation</t>
  </si>
  <si>
    <t>Cerner Corporation</t>
  </si>
  <si>
    <t>Elastic</t>
  </si>
  <si>
    <t>Equinix</t>
  </si>
  <si>
    <t>Hewlett Packard Enterprise</t>
  </si>
  <si>
    <t>Tata Consultancy Services</t>
  </si>
  <si>
    <t>Amazon</t>
  </si>
  <si>
    <t>Angie's List</t>
  </si>
  <si>
    <t>Birchbox</t>
  </si>
  <si>
    <t>Box</t>
  </si>
  <si>
    <t>eBay</t>
  </si>
  <si>
    <t>Glassdoor</t>
  </si>
  <si>
    <t>Google</t>
  </si>
  <si>
    <t>Indeed</t>
  </si>
  <si>
    <t>LinkedIn</t>
  </si>
  <si>
    <t>Tinder</t>
  </si>
  <si>
    <t>Uber</t>
  </si>
  <si>
    <t>FIS Global</t>
  </si>
  <si>
    <t>Technology: Financial Services</t>
  </si>
  <si>
    <t>Jack Henry</t>
  </si>
  <si>
    <t>Personal Capital</t>
  </si>
  <si>
    <t>Zwift</t>
  </si>
  <si>
    <t>Zynga</t>
  </si>
  <si>
    <t>Apple</t>
  </si>
  <si>
    <t>Technology: Manufacturing</t>
  </si>
  <si>
    <t>Cisco</t>
  </si>
  <si>
    <t>Dell Technologies</t>
  </si>
  <si>
    <t>Garmin</t>
  </si>
  <si>
    <t>IBM</t>
  </si>
  <si>
    <t>Intel Corporation</t>
  </si>
  <si>
    <t>Western Digital</t>
  </si>
  <si>
    <t>VISA</t>
  </si>
  <si>
    <t>Technology: Payments</t>
  </si>
  <si>
    <t>Waters Corporation</t>
  </si>
  <si>
    <t>Forcepoint</t>
  </si>
  <si>
    <t>Technology: Security</t>
  </si>
  <si>
    <t>Tanium</t>
  </si>
  <si>
    <t>Addepar</t>
  </si>
  <si>
    <t>Adobe Systems</t>
  </si>
  <si>
    <t>Appian</t>
  </si>
  <si>
    <t>Calabrio, Inc.</t>
  </si>
  <si>
    <t>Epic Systems</t>
  </si>
  <si>
    <t>FactSet</t>
  </si>
  <si>
    <t>GitHub</t>
  </si>
  <si>
    <t>Klaviyo</t>
  </si>
  <si>
    <t>Mindbody</t>
  </si>
  <si>
    <t>NexJ Systems Inc.</t>
  </si>
  <si>
    <t>Pegasystems Inc.</t>
  </si>
  <si>
    <t>Qualitest Group</t>
  </si>
  <si>
    <t>Salesforce</t>
  </si>
  <si>
    <t>ServiceNow</t>
  </si>
  <si>
    <t>Slack Technologies</t>
  </si>
  <si>
    <t>UKG</t>
  </si>
  <si>
    <t>Workiva</t>
  </si>
  <si>
    <t>Zendesk, Inc</t>
  </si>
  <si>
    <t>DISH</t>
  </si>
  <si>
    <t>Lumen</t>
  </si>
  <si>
    <t>Spectrum</t>
  </si>
  <si>
    <t>Verizon</t>
  </si>
  <si>
    <t>Viasat</t>
  </si>
  <si>
    <t>Zoom</t>
  </si>
  <si>
    <t>FedEx</t>
  </si>
  <si>
    <t>Transportation: Couriers &amp; Delivery</t>
  </si>
  <si>
    <t>Instacart</t>
  </si>
  <si>
    <t>C.H. Robinson</t>
  </si>
  <si>
    <t>Transportation: Freight &amp; Logistics</t>
  </si>
  <si>
    <t>Virgin Hyperloop One</t>
  </si>
  <si>
    <t>Transportation: Rail</t>
  </si>
  <si>
    <t>ClassPass</t>
  </si>
  <si>
    <t>Wellness &amp; Fitness</t>
  </si>
  <si>
    <t>Sysco</t>
  </si>
  <si>
    <t>Wholesale</t>
  </si>
  <si>
    <t>US Foods</t>
  </si>
  <si>
    <t>BerryDunn</t>
  </si>
  <si>
    <t>Crowe</t>
  </si>
  <si>
    <t>Eisneramper</t>
  </si>
  <si>
    <t>Fathom</t>
  </si>
  <si>
    <t>Kearney &amp; Company</t>
  </si>
  <si>
    <t>Marcum LLP</t>
  </si>
  <si>
    <t>Myers &amp; Stauffer LC</t>
  </si>
  <si>
    <t>Ryan LLC</t>
  </si>
  <si>
    <t>Acceleration Partners</t>
  </si>
  <si>
    <t>AdTheorent</t>
  </si>
  <si>
    <t>Affinion Group</t>
  </si>
  <si>
    <t>Ampersand</t>
  </si>
  <si>
    <t>Ansira</t>
  </si>
  <si>
    <t>BBDO</t>
  </si>
  <si>
    <t>Cares Pro LLC</t>
  </si>
  <si>
    <t>Code And Theory</t>
  </si>
  <si>
    <t>Constant Contact</t>
  </si>
  <si>
    <t>Conversant Media</t>
  </si>
  <si>
    <t>Create NYC</t>
  </si>
  <si>
    <t>DIGO</t>
  </si>
  <si>
    <t>Essence Digital</t>
  </si>
  <si>
    <t>Goodway Group</t>
  </si>
  <si>
    <t>Hawkeye Agency</t>
  </si>
  <si>
    <t>Hill Holliday</t>
  </si>
  <si>
    <t>Hirshorn Zuckerman Design Group</t>
  </si>
  <si>
    <t>Hootsuite</t>
  </si>
  <si>
    <t>Huge Inc</t>
  </si>
  <si>
    <t>Launch Potato</t>
  </si>
  <si>
    <t>Media Directions Advertising</t>
  </si>
  <si>
    <t>MediaCom</t>
  </si>
  <si>
    <t>Monigle</t>
  </si>
  <si>
    <t>National Cinemedia</t>
  </si>
  <si>
    <t>News America Marketing</t>
  </si>
  <si>
    <t>Ogilvy</t>
  </si>
  <si>
    <t>Omnicom Media Group</t>
  </si>
  <si>
    <t>PGR Media</t>
  </si>
  <si>
    <t>Pico</t>
  </si>
  <si>
    <t>R/GA</t>
  </si>
  <si>
    <t>Radancy</t>
  </si>
  <si>
    <t>Radius Intelligence</t>
  </si>
  <si>
    <t>ReachLocal</t>
  </si>
  <si>
    <t>Saatchi &amp; Saatchi</t>
  </si>
  <si>
    <t>SapientRazorfish</t>
  </si>
  <si>
    <t>SmartBug Media</t>
  </si>
  <si>
    <t>Spectrum Science</t>
  </si>
  <si>
    <t>Stage Marketing</t>
  </si>
  <si>
    <t>Tag Worldwide</t>
  </si>
  <si>
    <t>The Richards Group</t>
  </si>
  <si>
    <t>UNiDAYS</t>
  </si>
  <si>
    <t>VaynerMedia</t>
  </si>
  <si>
    <t>Wavemaker</t>
  </si>
  <si>
    <t>Wunderman DC</t>
  </si>
  <si>
    <t>Zenith Media</t>
  </si>
  <si>
    <t>AMG Research</t>
  </si>
  <si>
    <t>Advertising: Market Research</t>
  </si>
  <si>
    <t>eMarketer</t>
  </si>
  <si>
    <t>Hanover Research</t>
  </si>
  <si>
    <t>Acubed</t>
  </si>
  <si>
    <t>Honeywell Aerospace</t>
  </si>
  <si>
    <t>Pratt &amp; Whitney</t>
  </si>
  <si>
    <t>SpaceX</t>
  </si>
  <si>
    <t>Boston Ballet</t>
  </si>
  <si>
    <t>Creative Artists Agency</t>
  </si>
  <si>
    <t>Disney Streaming Services</t>
  </si>
  <si>
    <t>GoDigital Media Group</t>
  </si>
  <si>
    <t>LaneOne</t>
  </si>
  <si>
    <t>Live Nation</t>
  </si>
  <si>
    <t>Camping World</t>
  </si>
  <si>
    <t>Automotive: Dealers</t>
  </si>
  <si>
    <t>Young Automotive Group</t>
  </si>
  <si>
    <t>Aptiv PLC</t>
  </si>
  <si>
    <t>Mercedes-Benz Research &amp; Development North America</t>
  </si>
  <si>
    <t>Advance Auto Parts</t>
  </si>
  <si>
    <t>Automotive: Parts</t>
  </si>
  <si>
    <t>Bendix Commercial Vehicle Systems</t>
  </si>
  <si>
    <t>Bridgestone Corporation</t>
  </si>
  <si>
    <t>Continental</t>
  </si>
  <si>
    <t>Donaldson Company, Inc.</t>
  </si>
  <si>
    <t>Michelin</t>
  </si>
  <si>
    <t>Valvoline</t>
  </si>
  <si>
    <t>Automotive: Products &amp; Services</t>
  </si>
  <si>
    <t>Aramark</t>
  </si>
  <si>
    <t>Business Services: Food &amp; Hospitality</t>
  </si>
  <si>
    <t>Cintas Corporation</t>
  </si>
  <si>
    <t>ADP Canada Inc</t>
  </si>
  <si>
    <t>ADP India</t>
  </si>
  <si>
    <t>ADP Philippines</t>
  </si>
  <si>
    <t>ADP UK</t>
  </si>
  <si>
    <t>ACA Compliance Group</t>
  </si>
  <si>
    <t>BDO USA, LLP</t>
  </si>
  <si>
    <t>Brabo Payroll</t>
  </si>
  <si>
    <t>Cardlytics</t>
  </si>
  <si>
    <t>Cians Analytics</t>
  </si>
  <si>
    <t>CoStar Group</t>
  </si>
  <si>
    <t>Deluxe Corporation</t>
  </si>
  <si>
    <t>EveryDay Labs</t>
  </si>
  <si>
    <t>Flexport</t>
  </si>
  <si>
    <t>LexisNexis Risk Solutions Group</t>
  </si>
  <si>
    <t>LGC Standards</t>
  </si>
  <si>
    <t>LOTH, Inc.</t>
  </si>
  <si>
    <t>MIC Global Services</t>
  </si>
  <si>
    <t>Moody's Analytics</t>
  </si>
  <si>
    <t>Nuclear Energy Institute</t>
  </si>
  <si>
    <t>SmithBucklin</t>
  </si>
  <si>
    <t>The Larkin Company</t>
  </si>
  <si>
    <t>Ticketmaster</t>
  </si>
  <si>
    <t>UL LLC</t>
  </si>
  <si>
    <t>United States Chamber of Commerce</t>
  </si>
  <si>
    <t>247 Private Security</t>
  </si>
  <si>
    <t>Business Services: Security</t>
  </si>
  <si>
    <t>Allied Universal</t>
  </si>
  <si>
    <t>Vivint</t>
  </si>
  <si>
    <t>24-7 Intouch</t>
  </si>
  <si>
    <t>Aerotek, Inc.</t>
  </si>
  <si>
    <t>Beetroot</t>
  </si>
  <si>
    <t>Caastle</t>
  </si>
  <si>
    <t>Concurrent HRO</t>
  </si>
  <si>
    <t>Cyberbacker PH</t>
  </si>
  <si>
    <t>Daversa Partners</t>
  </si>
  <si>
    <t>Hays</t>
  </si>
  <si>
    <t>Kforce</t>
  </si>
  <si>
    <t>Manpower</t>
  </si>
  <si>
    <t>Marketsource</t>
  </si>
  <si>
    <t>MarketStar</t>
  </si>
  <si>
    <t>Maxim Healthcare Services</t>
  </si>
  <si>
    <t>nFuzion</t>
  </si>
  <si>
    <t>Norwin Technologies</t>
  </si>
  <si>
    <t>Populus Group</t>
  </si>
  <si>
    <t>Randstad Sourceright</t>
  </si>
  <si>
    <t>Recruitics</t>
  </si>
  <si>
    <t>Robert Half</t>
  </si>
  <si>
    <t>Rochester Telemessaging Center</t>
  </si>
  <si>
    <t>Search Solution Group</t>
  </si>
  <si>
    <t>TaskUs</t>
  </si>
  <si>
    <t>WilsonHCG</t>
  </si>
  <si>
    <t>Alight Solutions</t>
  </si>
  <si>
    <t>Allied Telecom Group</t>
  </si>
  <si>
    <t>Bazaarvoice</t>
  </si>
  <si>
    <t>Broadridge Financial Solutions Group</t>
  </si>
  <si>
    <t>CareDox</t>
  </si>
  <si>
    <t>Clever Devices</t>
  </si>
  <si>
    <t>Galois</t>
  </si>
  <si>
    <t>Paya</t>
  </si>
  <si>
    <t>Pitney Bowes</t>
  </si>
  <si>
    <t>Sprinklr</t>
  </si>
  <si>
    <t>Taulia Inc.</t>
  </si>
  <si>
    <t>Thoughtworks</t>
  </si>
  <si>
    <t>TodayTix</t>
  </si>
  <si>
    <t>Sysdig</t>
  </si>
  <si>
    <t>Computer &amp; Network Security</t>
  </si>
  <si>
    <t>Miro</t>
  </si>
  <si>
    <t>Computer Software</t>
  </si>
  <si>
    <t>General Electric</t>
  </si>
  <si>
    <t>Growmark</t>
  </si>
  <si>
    <t>Koch Industries</t>
  </si>
  <si>
    <t>Newell Brands</t>
  </si>
  <si>
    <t>Reliance Industries, Ltd</t>
  </si>
  <si>
    <t>Siemens Industry Automation and Drive Technologies</t>
  </si>
  <si>
    <t>Textron Inc.</t>
  </si>
  <si>
    <t>Accenture</t>
  </si>
  <si>
    <t>Alvarez &amp; Marsal</t>
  </si>
  <si>
    <t>Arc Aspicio</t>
  </si>
  <si>
    <t>Artemis Connection</t>
  </si>
  <si>
    <t>AustinCSI</t>
  </si>
  <si>
    <t>BSR (Business for Social Responsibility)</t>
  </si>
  <si>
    <t>Capco</t>
  </si>
  <si>
    <t>Capgemini</t>
  </si>
  <si>
    <t>Credera</t>
  </si>
  <si>
    <t>Dalberg</t>
  </si>
  <si>
    <t>Dexis Consulting Group</t>
  </si>
  <si>
    <t>FTI Consulting</t>
  </si>
  <si>
    <t>GHD Group Pty Ltd</t>
  </si>
  <si>
    <t>Guidehouse</t>
  </si>
  <si>
    <t>Heidrick &amp; Struggles</t>
  </si>
  <si>
    <t>Indigo Ag</t>
  </si>
  <si>
    <t>Intentional Futures</t>
  </si>
  <si>
    <t>Jasper Colin Research</t>
  </si>
  <si>
    <t>Macro Consultants LLC</t>
  </si>
  <si>
    <t>Mead &amp; Hunt</t>
  </si>
  <si>
    <t>MSA Worldwide</t>
  </si>
  <si>
    <t>MTX Group Inc</t>
  </si>
  <si>
    <t>Navigant Consulting</t>
  </si>
  <si>
    <t>Novantas Inc.</t>
  </si>
  <si>
    <t>NTT DATA Services</t>
  </si>
  <si>
    <t>O.C. Tanner</t>
  </si>
  <si>
    <t>OC&amp;C Strategy Consultants</t>
  </si>
  <si>
    <t>Oliver Wyman</t>
  </si>
  <si>
    <t>Perficient, Inc.</t>
  </si>
  <si>
    <t>PwC</t>
  </si>
  <si>
    <t>Resource Systems Group</t>
  </si>
  <si>
    <t>Search Discovery</t>
  </si>
  <si>
    <t>Stride Consulting</t>
  </si>
  <si>
    <t>TCG, Inc</t>
  </si>
  <si>
    <t>True Group</t>
  </si>
  <si>
    <t>West Monroe</t>
  </si>
  <si>
    <t>ZS</t>
  </si>
  <si>
    <t>Anheuser-Busch InBev</t>
  </si>
  <si>
    <t>Beam Suntory</t>
  </si>
  <si>
    <t>Boston Beer Company</t>
  </si>
  <si>
    <t>Molson Coors Brewing Company</t>
  </si>
  <si>
    <t>Nestle Waters</t>
  </si>
  <si>
    <t>PepsiCo</t>
  </si>
  <si>
    <t>Pernod Ricard</t>
  </si>
  <si>
    <t>Ranch Rider Spirits</t>
  </si>
  <si>
    <t>The Coca-Cola Company</t>
  </si>
  <si>
    <t>Total Wine &amp; More</t>
  </si>
  <si>
    <t xml:space="preserve"> Braum's Ice Cream &amp; Dairy Store</t>
  </si>
  <si>
    <t>Ajinomoto</t>
  </si>
  <si>
    <t>Bimbo Bakeries USA</t>
  </si>
  <si>
    <t>Campbell Soup Company</t>
  </si>
  <si>
    <t>Frito-Lay</t>
  </si>
  <si>
    <t>Impossible Foods</t>
  </si>
  <si>
    <t>Lindt &amp; SprŸngli</t>
  </si>
  <si>
    <t>Nestle</t>
  </si>
  <si>
    <t>R. M. Palmer Company</t>
  </si>
  <si>
    <t>Taylor Company</t>
  </si>
  <si>
    <t>The Coffee Bean &amp; Tea Leaf</t>
  </si>
  <si>
    <t>The Dannon Company, Inc.</t>
  </si>
  <si>
    <t>The J.M. Smucker Company</t>
  </si>
  <si>
    <t>WellPet LLC</t>
  </si>
  <si>
    <t>Colgate-Palmolive Company</t>
  </si>
  <si>
    <t>Elanco Animal Health</t>
  </si>
  <si>
    <t>Henkel</t>
  </si>
  <si>
    <t>Nestle Purina PetCare Company</t>
  </si>
  <si>
    <t>Procter &amp; Gamble</t>
  </si>
  <si>
    <t>The Scotts Miracle-Gro Company</t>
  </si>
  <si>
    <t>Altria Group, Inc.</t>
  </si>
  <si>
    <t>Consumer Packaged Goods: Tobacco</t>
  </si>
  <si>
    <t>Reynolds American Inc.</t>
  </si>
  <si>
    <t>Munchkin</t>
  </si>
  <si>
    <t>Aesop</t>
  </si>
  <si>
    <t>Benefit Cosmetics LLC</t>
  </si>
  <si>
    <t>Curology</t>
  </si>
  <si>
    <t>Edge Systems LLC</t>
  </si>
  <si>
    <t>Estee Lauder Companies</t>
  </si>
  <si>
    <t>Mac Cosmetics</t>
  </si>
  <si>
    <t>Revlon</t>
  </si>
  <si>
    <t>BAE Systems</t>
  </si>
  <si>
    <t>L3Harris</t>
  </si>
  <si>
    <t>Sierra Nevada Corperation</t>
  </si>
  <si>
    <t>Textron Systems</t>
  </si>
  <si>
    <t>10up</t>
  </si>
  <si>
    <t>Design</t>
  </si>
  <si>
    <t>Kettle</t>
  </si>
  <si>
    <t>Reaktor</t>
  </si>
  <si>
    <t>Bard College</t>
  </si>
  <si>
    <t>Bryant University</t>
  </si>
  <si>
    <t>California State University</t>
  </si>
  <si>
    <t>Capella University</t>
  </si>
  <si>
    <t>Case Western Reserve University</t>
  </si>
  <si>
    <t>Colorado State University</t>
  </si>
  <si>
    <t>Columbia University</t>
  </si>
  <si>
    <t>Columbia University Information Technology</t>
  </si>
  <si>
    <t>Dartmouth College</t>
  </si>
  <si>
    <t>Dickinson College</t>
  </si>
  <si>
    <t>Duke University</t>
  </si>
  <si>
    <t>Ferris State University</t>
  </si>
  <si>
    <t>Florida International University</t>
  </si>
  <si>
    <t>Georgetown University</t>
  </si>
  <si>
    <t>Griffith University</t>
  </si>
  <si>
    <t>Harvard Business School</t>
  </si>
  <si>
    <t>Harvard University</t>
  </si>
  <si>
    <t>Imperial College London</t>
  </si>
  <si>
    <t>Indiana University</t>
  </si>
  <si>
    <t>IUPUI</t>
  </si>
  <si>
    <t>Johns Hopkins University</t>
  </si>
  <si>
    <t>Johns Hopkins University Applied Physics Laboratory</t>
  </si>
  <si>
    <t>Lasell College</t>
  </si>
  <si>
    <t>Marquette University</t>
  </si>
  <si>
    <t>Medical University of South Carolina</t>
  </si>
  <si>
    <t>New York University</t>
  </si>
  <si>
    <t>Northeastern University</t>
  </si>
  <si>
    <t>Northwestern University</t>
  </si>
  <si>
    <t>NYU School of Medicine</t>
  </si>
  <si>
    <t>Rutgers University</t>
  </si>
  <si>
    <t>The George Washington University</t>
  </si>
  <si>
    <t>The Ohio State University</t>
  </si>
  <si>
    <t>Tufts University</t>
  </si>
  <si>
    <t>UCLA</t>
  </si>
  <si>
    <t>University at Buffalo</t>
  </si>
  <si>
    <t>University of Arizona</t>
  </si>
  <si>
    <t>University of British Columbia</t>
  </si>
  <si>
    <t>University of California Berkeley</t>
  </si>
  <si>
    <t>University of Massachusetts Amherst</t>
  </si>
  <si>
    <t>University of Michigan</t>
  </si>
  <si>
    <t>University of New Hampshire</t>
  </si>
  <si>
    <t>University of Notre Dame</t>
  </si>
  <si>
    <t>University of Tampa</t>
  </si>
  <si>
    <t>Utah State University</t>
  </si>
  <si>
    <t>Virgina Commonwealth University</t>
  </si>
  <si>
    <t>Webster University</t>
  </si>
  <si>
    <t>Wheaton College</t>
  </si>
  <si>
    <t>360DigiTMG</t>
  </si>
  <si>
    <t>Chegg</t>
  </si>
  <si>
    <t>Clever</t>
  </si>
  <si>
    <t>Degreed</t>
  </si>
  <si>
    <t>Imagine Learning</t>
  </si>
  <si>
    <t>Pluralsight</t>
  </si>
  <si>
    <t>Renaissance Learning</t>
  </si>
  <si>
    <t>Skillcrush</t>
  </si>
  <si>
    <t>Soomo Learning</t>
  </si>
  <si>
    <t>Zearn</t>
  </si>
  <si>
    <t>CIEE</t>
  </si>
  <si>
    <t>Educational Services: Management</t>
  </si>
  <si>
    <t>General Assembly</t>
  </si>
  <si>
    <t>NWEA</t>
  </si>
  <si>
    <t>Prince William County Public Schools</t>
  </si>
  <si>
    <t>Santa Fe Public Schools</t>
  </si>
  <si>
    <t>Teachstone</t>
  </si>
  <si>
    <t>The College Board</t>
  </si>
  <si>
    <t>ACT, Inc</t>
  </si>
  <si>
    <t>Educational Services: Other</t>
  </si>
  <si>
    <t>British Council</t>
  </si>
  <si>
    <t>Pearson</t>
  </si>
  <si>
    <t>Savvas Learning Company</t>
  </si>
  <si>
    <t>Texas A&amp;M AgriLife Research</t>
  </si>
  <si>
    <t>The Concord Consortium</t>
  </si>
  <si>
    <t>KinderCare Learning Companies</t>
  </si>
  <si>
    <t>Educational Services: Preschool</t>
  </si>
  <si>
    <t>Aperian Global</t>
  </si>
  <si>
    <t>Educational Services: Professional Training</t>
  </si>
  <si>
    <t>Achievement First</t>
  </si>
  <si>
    <t>Educational Services: School</t>
  </si>
  <si>
    <t>Cobb County School District</t>
  </si>
  <si>
    <t>Curtis Institute of Music</t>
  </si>
  <si>
    <t>Henderson Collegiate</t>
  </si>
  <si>
    <t>Humble Independent School District</t>
  </si>
  <si>
    <t>IDEA Public Schools</t>
  </si>
  <si>
    <t>Long Trail School</t>
  </si>
  <si>
    <t>San Francisco Unified School District</t>
  </si>
  <si>
    <t>The Meadowbrook School of Weston</t>
  </si>
  <si>
    <t>Creative Education Services</t>
  </si>
  <si>
    <t>Educational Services: Tutoring</t>
  </si>
  <si>
    <t>Armada Technologies</t>
  </si>
  <si>
    <t>Bose</t>
  </si>
  <si>
    <t>Harman International Industries</t>
  </si>
  <si>
    <t>iRobot</t>
  </si>
  <si>
    <t>Keysight Technologies</t>
  </si>
  <si>
    <t>Legrand</t>
  </si>
  <si>
    <t>Maxim Integrated Products</t>
  </si>
  <si>
    <t>Philips</t>
  </si>
  <si>
    <t>Radar</t>
  </si>
  <si>
    <t>Sanmina</t>
  </si>
  <si>
    <t>Trane Technologies</t>
  </si>
  <si>
    <t>Reprise</t>
  </si>
  <si>
    <t>Engineering</t>
  </si>
  <si>
    <t>Barclays</t>
  </si>
  <si>
    <t>Finance</t>
  </si>
  <si>
    <t>Progressive Leasing</t>
  </si>
  <si>
    <t>Acorns</t>
  </si>
  <si>
    <t>AllianceBernstein LP</t>
  </si>
  <si>
    <t>American Century Investments</t>
  </si>
  <si>
    <t>American Endowment Foundation</t>
  </si>
  <si>
    <t>BNY Mellon</t>
  </si>
  <si>
    <t>Bridgewater Associates</t>
  </si>
  <si>
    <t>Cantella &amp; Co., Inc.</t>
  </si>
  <si>
    <t>Citadel</t>
  </si>
  <si>
    <t>Coller Capital Ltd.</t>
  </si>
  <si>
    <t>DWS</t>
  </si>
  <si>
    <t>Fisher Investments</t>
  </si>
  <si>
    <t>Gemini Trust Company</t>
  </si>
  <si>
    <t>Golub Capital</t>
  </si>
  <si>
    <t>Invesco</t>
  </si>
  <si>
    <t>North Star Resource Group</t>
  </si>
  <si>
    <t>The StepStone Group LP</t>
  </si>
  <si>
    <t>TIAA</t>
  </si>
  <si>
    <t>TPG Capital</t>
  </si>
  <si>
    <t>Trinity Lifetime</t>
  </si>
  <si>
    <t>Vanguard Group</t>
  </si>
  <si>
    <t>American Express</t>
  </si>
  <si>
    <t>American Honda Finance Corp</t>
  </si>
  <si>
    <t>Navy Federal Credit Union</t>
  </si>
  <si>
    <t>Finance: Credit Unions</t>
  </si>
  <si>
    <t>Achieve</t>
  </si>
  <si>
    <t>Andrew Davidson &amp; Co</t>
  </si>
  <si>
    <t>ASB Bank</t>
  </si>
  <si>
    <t>Bank of America</t>
  </si>
  <si>
    <t>BB&amp;T Corporation</t>
  </si>
  <si>
    <t>BBVA</t>
  </si>
  <si>
    <t>BNP Paribas</t>
  </si>
  <si>
    <t>Capital One</t>
  </si>
  <si>
    <t>CAPTRUST</t>
  </si>
  <si>
    <t>CME Group</t>
  </si>
  <si>
    <t>Computershare</t>
  </si>
  <si>
    <t>Credit Suisse</t>
  </si>
  <si>
    <t>Digistream Investigations</t>
  </si>
  <si>
    <t>Edward Jones</t>
  </si>
  <si>
    <t>Fidelity Investments</t>
  </si>
  <si>
    <t>First Citizens Bank</t>
  </si>
  <si>
    <t>Geller &amp; Company</t>
  </si>
  <si>
    <t>HSBC</t>
  </si>
  <si>
    <t>JMP Group LLC</t>
  </si>
  <si>
    <t>JPMorgan Chase</t>
  </si>
  <si>
    <t>Kasasa by BancVue</t>
  </si>
  <si>
    <t>Lincoln Financial Group</t>
  </si>
  <si>
    <t>Marsh McLennan</t>
  </si>
  <si>
    <t>Morgan Stanley</t>
  </si>
  <si>
    <t>Nomura</t>
  </si>
  <si>
    <t>Scotiabank</t>
  </si>
  <si>
    <t>Securian Financial Group Inc.</t>
  </si>
  <si>
    <t>Standard Chartered</t>
  </si>
  <si>
    <t>State Street Corporation</t>
  </si>
  <si>
    <t>Stifel Nicolaus &amp; Co.</t>
  </si>
  <si>
    <t>USAA</t>
  </si>
  <si>
    <t>Northwestern Mutual Ð Corporate Careers</t>
  </si>
  <si>
    <t>Finance: Life</t>
  </si>
  <si>
    <t>Better Mortgage</t>
  </si>
  <si>
    <t>OneMain Financial</t>
  </si>
  <si>
    <t>Quicken Loans Inc.</t>
  </si>
  <si>
    <t>Veterans United Home Loans</t>
  </si>
  <si>
    <t>ANZ</t>
  </si>
  <si>
    <t>Bank of the West</t>
  </si>
  <si>
    <t>BMO Harris Bank</t>
  </si>
  <si>
    <t>CIT</t>
  </si>
  <si>
    <t>Citizens Bank</t>
  </si>
  <si>
    <t>Commonwealth Bank of Australia</t>
  </si>
  <si>
    <t>Federal Home Loan Bank Of New York</t>
  </si>
  <si>
    <t>Fifth Third Bank</t>
  </si>
  <si>
    <t>First Republic Bank</t>
  </si>
  <si>
    <t>Huntington Bank</t>
  </si>
  <si>
    <t>KeyBank</t>
  </si>
  <si>
    <t>M&amp;T Bank Corporation</t>
  </si>
  <si>
    <t>Santander US</t>
  </si>
  <si>
    <t>SociŽtŽ GŽnŽrale</t>
  </si>
  <si>
    <t>Stanbic IBTC Bank</t>
  </si>
  <si>
    <t>SunTrust Banks</t>
  </si>
  <si>
    <t>U.S. Bank</t>
  </si>
  <si>
    <t>Union Bank</t>
  </si>
  <si>
    <t>Vanquis Bank</t>
  </si>
  <si>
    <t>Wintrust Financial Corporation</t>
  </si>
  <si>
    <t>Adams Street Partners, LLC</t>
  </si>
  <si>
    <t>Finance: Venture Capital</t>
  </si>
  <si>
    <t>Guggenheim Partners, LLC</t>
  </si>
  <si>
    <t>City of Virginia Beach</t>
  </si>
  <si>
    <t>Government: City</t>
  </si>
  <si>
    <t>New York City</t>
  </si>
  <si>
    <t>New York City Economic Development Corporation</t>
  </si>
  <si>
    <t>The City of Portland</t>
  </si>
  <si>
    <t>The City of San Antonio</t>
  </si>
  <si>
    <t>Peraton</t>
  </si>
  <si>
    <t>Marion County Sheriff's Office</t>
  </si>
  <si>
    <t>Multnomah County, Oregon</t>
  </si>
  <si>
    <t>Spokane County</t>
  </si>
  <si>
    <t>Corporation for National and Community Service</t>
  </si>
  <si>
    <t>Federal Deposit Insurance Corporation</t>
  </si>
  <si>
    <t>Federal Public Defender</t>
  </si>
  <si>
    <t>Federal Reserve Bank of New York</t>
  </si>
  <si>
    <t>Los Alamos National Laboratory</t>
  </si>
  <si>
    <t>NASA Jet Propulsion Laboratory</t>
  </si>
  <si>
    <t>Naval Medical Center Portsmouth</t>
  </si>
  <si>
    <t>NavSea</t>
  </si>
  <si>
    <t>NSA</t>
  </si>
  <si>
    <t>The United States Air Force</t>
  </si>
  <si>
    <t>U.S. Department of Education</t>
  </si>
  <si>
    <t>U.S. Department of Veterans Affairs</t>
  </si>
  <si>
    <t>U.S. Social Security Administration</t>
  </si>
  <si>
    <t>United States Army</t>
  </si>
  <si>
    <t>United States Department of State</t>
  </si>
  <si>
    <t>United States Trade and Development Agency</t>
  </si>
  <si>
    <t>USAID</t>
  </si>
  <si>
    <t>United Nations</t>
  </si>
  <si>
    <t>World Health Organization</t>
  </si>
  <si>
    <t>Commonwealth of Massachusetts</t>
  </si>
  <si>
    <t>Government: State</t>
  </si>
  <si>
    <t>DBPR</t>
  </si>
  <si>
    <t>State of North Carolina</t>
  </si>
  <si>
    <t>Companion Animal Hospital Partners</t>
  </si>
  <si>
    <t>Veterinary Emergency Group</t>
  </si>
  <si>
    <t>Zoetis</t>
  </si>
  <si>
    <t>Beacon Health Options</t>
  </si>
  <si>
    <t>Healthcare: Behavioral</t>
  </si>
  <si>
    <t>Ambry Genetics</t>
  </si>
  <si>
    <t>Biogen</t>
  </si>
  <si>
    <t>bioMerieux</t>
  </si>
  <si>
    <t>Bolt Threads</t>
  </si>
  <si>
    <t>Charles River Laboratories</t>
  </si>
  <si>
    <t>Genentech</t>
  </si>
  <si>
    <t>Gilead Sciences, Inc.</t>
  </si>
  <si>
    <t>Idexx Laboratories</t>
  </si>
  <si>
    <t>NanoString Technologies</t>
  </si>
  <si>
    <t>Nova Biomedical</t>
  </si>
  <si>
    <t>Novozymes</t>
  </si>
  <si>
    <t>Promega Corporation</t>
  </si>
  <si>
    <t>SCIEX</t>
  </si>
  <si>
    <t>Bupa</t>
  </si>
  <si>
    <t>Call9</t>
  </si>
  <si>
    <t>Saint Francis Medical Center</t>
  </si>
  <si>
    <t>BAYADA</t>
  </si>
  <si>
    <t>Healthcare: Family Care</t>
  </si>
  <si>
    <t>Inspire Wellness</t>
  </si>
  <si>
    <t>Landmark Health</t>
  </si>
  <si>
    <t>Southwest Idaho Treatment Center</t>
  </si>
  <si>
    <t>Ascension Health</t>
  </si>
  <si>
    <t>Baptist Health System</t>
  </si>
  <si>
    <t>Bon Secours Mercy Health</t>
  </si>
  <si>
    <t>Central Maine Medical Center</t>
  </si>
  <si>
    <t>Children's Hospital of Pittsburgh of UPMC</t>
  </si>
  <si>
    <t>Children's Wisconsin</t>
  </si>
  <si>
    <t>Christiana Care Health System</t>
  </si>
  <si>
    <t>Cincinnati Children's Hospital Medical Center</t>
  </si>
  <si>
    <t>Duke Health</t>
  </si>
  <si>
    <t>Everett Clinic</t>
  </si>
  <si>
    <t>Houston Methodist Hospital</t>
  </si>
  <si>
    <t>Johns Hopkins All Children's Hospital</t>
  </si>
  <si>
    <t>Lovelace Health System</t>
  </si>
  <si>
    <t>Mercy</t>
  </si>
  <si>
    <t>MetroHealth Medical Center</t>
  </si>
  <si>
    <t>Michigan Medicine</t>
  </si>
  <si>
    <t>Molina Healthcare</t>
  </si>
  <si>
    <t>Montefiore Medical Center</t>
  </si>
  <si>
    <t>Moses Cone</t>
  </si>
  <si>
    <t>New Century Health</t>
  </si>
  <si>
    <t>New York State Psychiatric Institute</t>
  </si>
  <si>
    <t>Northwell Health</t>
  </si>
  <si>
    <t>NYU Langone Health</t>
  </si>
  <si>
    <t>Partners Healthcare</t>
  </si>
  <si>
    <t>Penn Medicine</t>
  </si>
  <si>
    <t>Providence</t>
  </si>
  <si>
    <t>Temple University Hospital</t>
  </si>
  <si>
    <t>Texas Children's Hospital</t>
  </si>
  <si>
    <t>LabCorp</t>
  </si>
  <si>
    <t>Aeroflow Healthcare</t>
  </si>
  <si>
    <t>Aquilant</t>
  </si>
  <si>
    <t>BD</t>
  </si>
  <si>
    <t>Boston Scientific</t>
  </si>
  <si>
    <t>Cook Medical</t>
  </si>
  <si>
    <t>Hillrom</t>
  </si>
  <si>
    <t>Integra LifeSciences</t>
  </si>
  <si>
    <t>Intuitive</t>
  </si>
  <si>
    <t>Medela</t>
  </si>
  <si>
    <t>MicroPort Orthopedics</t>
  </si>
  <si>
    <t>Olympus Corporation</t>
  </si>
  <si>
    <t>ResMed</t>
  </si>
  <si>
    <t>Stryker Corporation</t>
  </si>
  <si>
    <t>Terumo BCT</t>
  </si>
  <si>
    <t>J&amp;J MedTech</t>
  </si>
  <si>
    <t>Healthcare: Products</t>
  </si>
  <si>
    <t>SmileDirectClub</t>
  </si>
  <si>
    <t>Be The Match</t>
  </si>
  <si>
    <t>Healthcare: Services</t>
  </si>
  <si>
    <t>Cardinal Health</t>
  </si>
  <si>
    <t>GE Healthcare Systems</t>
  </si>
  <si>
    <t>Heartland Dental</t>
  </si>
  <si>
    <t>Lumeris</t>
  </si>
  <si>
    <t>McKesson Specialty Health</t>
  </si>
  <si>
    <t>Optum</t>
  </si>
  <si>
    <t>Spectra</t>
  </si>
  <si>
    <t>Hospitality</t>
  </si>
  <si>
    <t>Gordon Food Service</t>
  </si>
  <si>
    <t>Hospitality: Foodservice Distributors</t>
  </si>
  <si>
    <t>Hilton</t>
  </si>
  <si>
    <t>Hyatt</t>
  </si>
  <si>
    <t>Rosewood Hotels &amp; Resorts</t>
  </si>
  <si>
    <t>Taj Hotels</t>
  </si>
  <si>
    <t>Blue Apron</t>
  </si>
  <si>
    <t>Hospitality: Meal Kit Delivery</t>
  </si>
  <si>
    <t>Disneyland</t>
  </si>
  <si>
    <t>Hospitality: Resorts</t>
  </si>
  <si>
    <t>Great Wolf Resorts</t>
  </si>
  <si>
    <t>Hilton Grand Vacations</t>
  </si>
  <si>
    <t>Vail Resorts</t>
  </si>
  <si>
    <t>Chick-fil-A</t>
  </si>
  <si>
    <t>Chipotle Mexican Grill</t>
  </si>
  <si>
    <t>Gate Gourmet</t>
  </si>
  <si>
    <t>La Colombe Torrefaction</t>
  </si>
  <si>
    <t>Momofuku</t>
  </si>
  <si>
    <t>Red Robin</t>
  </si>
  <si>
    <t>Restaurant Brands International</t>
  </si>
  <si>
    <t>Texas Roadhouse</t>
  </si>
  <si>
    <t>Ergotron</t>
  </si>
  <si>
    <t>Industrial: Appliances &amp; Furniture</t>
  </si>
  <si>
    <t>Stanley Black &amp; Decker</t>
  </si>
  <si>
    <t>Steelcase</t>
  </si>
  <si>
    <t>Whirlpool Corporation</t>
  </si>
  <si>
    <t>Deborah Berke Partners</t>
  </si>
  <si>
    <t>Grimshaw Architects</t>
  </si>
  <si>
    <t>Hickok Cole Architects</t>
  </si>
  <si>
    <t>HOK</t>
  </si>
  <si>
    <t>MG2</t>
  </si>
  <si>
    <t>CertainTeed</t>
  </si>
  <si>
    <t>Construction Specialties</t>
  </si>
  <si>
    <t>Daltile</t>
  </si>
  <si>
    <t>GAF</t>
  </si>
  <si>
    <t>Lehigh Hanson</t>
  </si>
  <si>
    <t>Sherwin-Williams</t>
  </si>
  <si>
    <t>Wilsonart</t>
  </si>
  <si>
    <t>Graham Construction &amp; Engineering Inc</t>
  </si>
  <si>
    <t>CIRCOR International, Inc.</t>
  </si>
  <si>
    <t>Danaher</t>
  </si>
  <si>
    <t>Eaton</t>
  </si>
  <si>
    <t>Faith Technologies</t>
  </si>
  <si>
    <t>HDR</t>
  </si>
  <si>
    <t>Honeywell</t>
  </si>
  <si>
    <t>Jacobs</t>
  </si>
  <si>
    <t>Jason Industrial</t>
  </si>
  <si>
    <t>Babcock International Group</t>
  </si>
  <si>
    <t>Industrial: Engineering</t>
  </si>
  <si>
    <t>Emerson Process Management</t>
  </si>
  <si>
    <t>Equinor</t>
  </si>
  <si>
    <t>GZA</t>
  </si>
  <si>
    <t>Pfaudler inc</t>
  </si>
  <si>
    <t>Quiddity Engineering</t>
  </si>
  <si>
    <t>Stantec</t>
  </si>
  <si>
    <t>Subsea 7</t>
  </si>
  <si>
    <t>WSP Global</t>
  </si>
  <si>
    <t>Xylem Inc.</t>
  </si>
  <si>
    <t>AGCO Corporation</t>
  </si>
  <si>
    <t>Association of Equipment Manufacturers</t>
  </si>
  <si>
    <t>Atlantic Diving Supply, Inc.</t>
  </si>
  <si>
    <t>Emerson Climate Technologies</t>
  </si>
  <si>
    <t>Genie Industries</t>
  </si>
  <si>
    <t>ITW</t>
  </si>
  <si>
    <t>KONE Corporation</t>
  </si>
  <si>
    <t>Terex</t>
  </si>
  <si>
    <t>Weir ESCO</t>
  </si>
  <si>
    <t>Zoox</t>
  </si>
  <si>
    <t>Aleris International, Inc.</t>
  </si>
  <si>
    <t>Industrial: Materials</t>
  </si>
  <si>
    <t>Avantor</t>
  </si>
  <si>
    <t>HP Manufacturing</t>
  </si>
  <si>
    <t>Orica</t>
  </si>
  <si>
    <t>W.L. Gore</t>
  </si>
  <si>
    <t>Grainger Industrial Supply</t>
  </si>
  <si>
    <t>Hunter Douglas</t>
  </si>
  <si>
    <t>United Rentals</t>
  </si>
  <si>
    <t>Bloomberg</t>
  </si>
  <si>
    <t>Nielsen Holdings N.V.</t>
  </si>
  <si>
    <t>RELX Group</t>
  </si>
  <si>
    <t>WinBizSolutions</t>
  </si>
  <si>
    <t>Wolters Kluwer</t>
  </si>
  <si>
    <t>Dun &amp; Bradstreet</t>
  </si>
  <si>
    <t>Experian PLC</t>
  </si>
  <si>
    <t>Fitch Ratings</t>
  </si>
  <si>
    <t>Ipreo Holdings LLC</t>
  </si>
  <si>
    <t>NASDAQ</t>
  </si>
  <si>
    <t>TransUnion</t>
  </si>
  <si>
    <t>Bloomberg BNA</t>
  </si>
  <si>
    <t>Information Services: Legal</t>
  </si>
  <si>
    <t>1010data</t>
  </si>
  <si>
    <t>Avanade</t>
  </si>
  <si>
    <t>Cloudreach</t>
  </si>
  <si>
    <t>Dataminr</t>
  </si>
  <si>
    <t>Dell Boomi</t>
  </si>
  <si>
    <t>DoubleVerify, Inc.</t>
  </si>
  <si>
    <t>Emids</t>
  </si>
  <si>
    <t>Equian</t>
  </si>
  <si>
    <t>Eras Tech</t>
  </si>
  <si>
    <t>Gartner</t>
  </si>
  <si>
    <t>Google Cloud</t>
  </si>
  <si>
    <t>HealthStream</t>
  </si>
  <si>
    <t>Hitachi Vantara</t>
  </si>
  <si>
    <t>Infolock</t>
  </si>
  <si>
    <t>Infosys</t>
  </si>
  <si>
    <t>J2 Global</t>
  </si>
  <si>
    <t>LeverX</t>
  </si>
  <si>
    <t>LexisNexis</t>
  </si>
  <si>
    <t>Lloyd Group</t>
  </si>
  <si>
    <t>LMT Technology Solutions</t>
  </si>
  <si>
    <t>Microsoft Azure</t>
  </si>
  <si>
    <t>NetImpact Strategies</t>
  </si>
  <si>
    <t>Newfold Digital</t>
  </si>
  <si>
    <t>Niche</t>
  </si>
  <si>
    <t>NielsenIQ</t>
  </si>
  <si>
    <t>OM1</t>
  </si>
  <si>
    <t>OPTIMIZERx Corporation</t>
  </si>
  <si>
    <t>PatientPop</t>
  </si>
  <si>
    <t>Publicis Sapient</t>
  </si>
  <si>
    <t>Remind</t>
  </si>
  <si>
    <t>RF Code</t>
  </si>
  <si>
    <t>Siemens Healthineers</t>
  </si>
  <si>
    <t>Smarsh</t>
  </si>
  <si>
    <t>SpotX</t>
  </si>
  <si>
    <t>Surescripts</t>
  </si>
  <si>
    <t>The Gordian Group</t>
  </si>
  <si>
    <t>TriNet</t>
  </si>
  <si>
    <t>Verisk Analytics</t>
  </si>
  <si>
    <t>VTS</t>
  </si>
  <si>
    <t>WP Engine</t>
  </si>
  <si>
    <t>ZoomInfo</t>
  </si>
  <si>
    <t>Marsh &amp; McLennan Agency</t>
  </si>
  <si>
    <t>Insurance</t>
  </si>
  <si>
    <t>Hub International</t>
  </si>
  <si>
    <t>Insurance: Brokerage</t>
  </si>
  <si>
    <t>USI Insurance Services</t>
  </si>
  <si>
    <t>Willis Towers Watson</t>
  </si>
  <si>
    <t>AmeriTrust Group</t>
  </si>
  <si>
    <t>Aspen Insurance Holdings Limited</t>
  </si>
  <si>
    <t>CUNA Mutual Group</t>
  </si>
  <si>
    <t>First American</t>
  </si>
  <si>
    <t>Hiscox</t>
  </si>
  <si>
    <t>IAG Limited</t>
  </si>
  <si>
    <t>Lockton Companies Inc.</t>
  </si>
  <si>
    <t>MassMutual</t>
  </si>
  <si>
    <t>MJ Insurance</t>
  </si>
  <si>
    <t>Sana Benefits</t>
  </si>
  <si>
    <t>Sun Life Financial</t>
  </si>
  <si>
    <t>The McGowan Companies Inc.</t>
  </si>
  <si>
    <t>Trustmark Companies</t>
  </si>
  <si>
    <t>Anthem</t>
  </si>
  <si>
    <t>Blue Cross and Blue Shield of Texas</t>
  </si>
  <si>
    <t>Blue Cross Blue Shield of Alabama</t>
  </si>
  <si>
    <t>Cambia Health Solutions</t>
  </si>
  <si>
    <t>CareFirst</t>
  </si>
  <si>
    <t>CareSource</t>
  </si>
  <si>
    <t>Centene Corporation</t>
  </si>
  <si>
    <t>CIGNA Corporation</t>
  </si>
  <si>
    <t>Clover Health</t>
  </si>
  <si>
    <t>Delta Dental Ins</t>
  </si>
  <si>
    <t>GoHealth</t>
  </si>
  <si>
    <t>Independence Blue Cross</t>
  </si>
  <si>
    <t>Oscar Health</t>
  </si>
  <si>
    <t>Premera Blue Cross</t>
  </si>
  <si>
    <t>UCare</t>
  </si>
  <si>
    <t>UnitedHealthcare</t>
  </si>
  <si>
    <t>WellCare Health Plans</t>
  </si>
  <si>
    <t>American Income Life</t>
  </si>
  <si>
    <t>Genworth Financial, Inc.</t>
  </si>
  <si>
    <t>GuardianLife</t>
  </si>
  <si>
    <t>MetLife</t>
  </si>
  <si>
    <t>National Benefit Life Insurance</t>
  </si>
  <si>
    <t>New York Life Insurance Company</t>
  </si>
  <si>
    <t>Prudential Financial</t>
  </si>
  <si>
    <t>Unum</t>
  </si>
  <si>
    <t>Allstate Insurance Company</t>
  </si>
  <si>
    <t>American Family Insurance</t>
  </si>
  <si>
    <t>Assurant, Inc.</t>
  </si>
  <si>
    <t>Farmers Insurance</t>
  </si>
  <si>
    <t>FM Global</t>
  </si>
  <si>
    <t>GEICO</t>
  </si>
  <si>
    <t>IAT Insurance Group</t>
  </si>
  <si>
    <t>Intact Financial Corporation</t>
  </si>
  <si>
    <t>Liberty Mutual Insurance</t>
  </si>
  <si>
    <t>Progressive Corporation</t>
  </si>
  <si>
    <t>Selective Insurance</t>
  </si>
  <si>
    <t>The Hartford</t>
  </si>
  <si>
    <t>Travelers</t>
  </si>
  <si>
    <t>Guy Carpenter</t>
  </si>
  <si>
    <t>Insurance: Reinsurance</t>
  </si>
  <si>
    <t>Burr &amp; Forman LLP</t>
  </si>
  <si>
    <t>Cleary Gottlieb Steen &amp; Hamilton LLP</t>
  </si>
  <si>
    <t>Cooley LLP</t>
  </si>
  <si>
    <t>Correia &amp; Puth, PLLC</t>
  </si>
  <si>
    <t>Covington &amp; Burling LLP</t>
  </si>
  <si>
    <t>Crowell &amp; Moring</t>
  </si>
  <si>
    <t>Davis &amp; Santos</t>
  </si>
  <si>
    <t>Desmarais LLP</t>
  </si>
  <si>
    <t>Entwistle &amp; Cappucci LLC</t>
  </si>
  <si>
    <t>Fox Rothschild LLP</t>
  </si>
  <si>
    <t>Fragomen</t>
  </si>
  <si>
    <t>Hogan Lovells</t>
  </si>
  <si>
    <t>Hudson Cook</t>
  </si>
  <si>
    <t>Kirkland &amp; Ellis LLP</t>
  </si>
  <si>
    <t>Latham &amp; Watkins LLP</t>
  </si>
  <si>
    <t>Lathrop GPM LLP</t>
  </si>
  <si>
    <t>Linklaters LLP</t>
  </si>
  <si>
    <t>Littler Mendelson P.C.</t>
  </si>
  <si>
    <t>Manatt, Phelps &amp; Phillips, LLP</t>
  </si>
  <si>
    <t>Mayer Brown</t>
  </si>
  <si>
    <t>McLane Middleton PA</t>
  </si>
  <si>
    <t>Mintz Levin Cohn Ferris Glovsky and Popeo PC</t>
  </si>
  <si>
    <t>Schlam Stone &amp; Dolan</t>
  </si>
  <si>
    <t>Simpson Thacher &amp; Bartlett LLP</t>
  </si>
  <si>
    <t>Veritas Law</t>
  </si>
  <si>
    <t>Wynyard Wood</t>
  </si>
  <si>
    <t>HBR Consulting</t>
  </si>
  <si>
    <t>Legal Services</t>
  </si>
  <si>
    <t>Cruise Planners</t>
  </si>
  <si>
    <t>Royal Caribbean International</t>
  </si>
  <si>
    <t>VRBO</t>
  </si>
  <si>
    <t>BrightTALK</t>
  </si>
  <si>
    <t>Media</t>
  </si>
  <si>
    <t>CondŽ Nast</t>
  </si>
  <si>
    <t>Meredith</t>
  </si>
  <si>
    <t>NBCUniversal</t>
  </si>
  <si>
    <t>Quartz</t>
  </si>
  <si>
    <t>Sky PLC</t>
  </si>
  <si>
    <t>Thomson Reuters</t>
  </si>
  <si>
    <t>Townsquare Media</t>
  </si>
  <si>
    <t>Viacom Inc.</t>
  </si>
  <si>
    <t>ViacomCBS</t>
  </si>
  <si>
    <t>WGBH</t>
  </si>
  <si>
    <t>Cinemark</t>
  </si>
  <si>
    <t>Media: Entertainment</t>
  </si>
  <si>
    <t>Lionsgate</t>
  </si>
  <si>
    <t>Madison Square Garden</t>
  </si>
  <si>
    <t>Showtime</t>
  </si>
  <si>
    <t>Spins</t>
  </si>
  <si>
    <t>Media: Magazines</t>
  </si>
  <si>
    <t>The Atlantic</t>
  </si>
  <si>
    <t>Business Insider</t>
  </si>
  <si>
    <t>Media: News</t>
  </si>
  <si>
    <t>Dow Jones</t>
  </si>
  <si>
    <t>Forbes</t>
  </si>
  <si>
    <t>Gannett</t>
  </si>
  <si>
    <t>New York Times</t>
  </si>
  <si>
    <t>The New York Times Company</t>
  </si>
  <si>
    <t>Washington Post</t>
  </si>
  <si>
    <t>Public Broadcasting Service</t>
  </si>
  <si>
    <t>Sinclair Broadcast Group</t>
  </si>
  <si>
    <t>ASML</t>
  </si>
  <si>
    <t>N/A</t>
  </si>
  <si>
    <t>INK Communications Co.</t>
  </si>
  <si>
    <t>Rokt</t>
  </si>
  <si>
    <t>Bunge North America</t>
  </si>
  <si>
    <t>Pilgrim's Pride</t>
  </si>
  <si>
    <t>Tate &amp; Lyle</t>
  </si>
  <si>
    <t>CHS Inc.</t>
  </si>
  <si>
    <t>Natural Resources: Agrochemical</t>
  </si>
  <si>
    <t>Air Products &amp; Chemicals, Inc.</t>
  </si>
  <si>
    <t>AkzoNobel Global</t>
  </si>
  <si>
    <t>Albemarle Corporation</t>
  </si>
  <si>
    <t>Ashland, Inc.</t>
  </si>
  <si>
    <t>DuPont</t>
  </si>
  <si>
    <t>Eastman Chemical Company</t>
  </si>
  <si>
    <t>LyondellBasell</t>
  </si>
  <si>
    <t>Nalco, An Ecolab Company</t>
  </si>
  <si>
    <t>Nutrien</t>
  </si>
  <si>
    <t>Solvay S.A.</t>
  </si>
  <si>
    <t>Syngenta Flowers</t>
  </si>
  <si>
    <t>CLEAResult</t>
  </si>
  <si>
    <t>Natural Resources: Diversified Energy</t>
  </si>
  <si>
    <t>Consolidated Edison Inc.</t>
  </si>
  <si>
    <t>Entergy Corporation</t>
  </si>
  <si>
    <t>NRG Energy, Inc.</t>
  </si>
  <si>
    <t>Eversource</t>
  </si>
  <si>
    <t>GE Power</t>
  </si>
  <si>
    <t>National Grid plc</t>
  </si>
  <si>
    <t>NiSource</t>
  </si>
  <si>
    <t>Sempra Energy</t>
  </si>
  <si>
    <t>Williams</t>
  </si>
  <si>
    <t>American Electric Power Company, Inc.</t>
  </si>
  <si>
    <t>Duke Energy</t>
  </si>
  <si>
    <t>Exelon Corporation</t>
  </si>
  <si>
    <t>Pacific Gas and Electric Company</t>
  </si>
  <si>
    <t>Southern California Edison</t>
  </si>
  <si>
    <t>Freeport-McMoRan</t>
  </si>
  <si>
    <t>Novelis</t>
  </si>
  <si>
    <t>Enbridge, Inc.</t>
  </si>
  <si>
    <t>ExxonMobil</t>
  </si>
  <si>
    <t>Marathon Petroleum Corporation</t>
  </si>
  <si>
    <t>Shell Oil Company</t>
  </si>
  <si>
    <t>T.D. Williamson, Inc.</t>
  </si>
  <si>
    <t>ASRC Energy Services</t>
  </si>
  <si>
    <t>Natural Resources: Oilfield Services</t>
  </si>
  <si>
    <t>Baker Hughes</t>
  </si>
  <si>
    <t>Schlumberger</t>
  </si>
  <si>
    <t>Save the Children</t>
  </si>
  <si>
    <t>The Pew Charitable Trusts</t>
  </si>
  <si>
    <t>World Vision</t>
  </si>
  <si>
    <t>AARP</t>
  </si>
  <si>
    <t>Nonprofit: Civic &amp; Social</t>
  </si>
  <si>
    <t>Convergence</t>
  </si>
  <si>
    <t>Enterprise Community Partners</t>
  </si>
  <si>
    <t>Help USA</t>
  </si>
  <si>
    <t>National Partnership for Women &amp; Families</t>
  </si>
  <si>
    <t>Project Renewal</t>
  </si>
  <si>
    <t>uAspire</t>
  </si>
  <si>
    <t>Washburn Center For Children</t>
  </si>
  <si>
    <t>Endeavor</t>
  </si>
  <si>
    <t>Nonprofit: Development</t>
  </si>
  <si>
    <t>Achievement Network</t>
  </si>
  <si>
    <t>Start Early</t>
  </si>
  <si>
    <t>Teach for America</t>
  </si>
  <si>
    <t>Wildwood Programs</t>
  </si>
  <si>
    <t>Environmental Defense Fund</t>
  </si>
  <si>
    <t>Nonprofit: Environmental Organization</t>
  </si>
  <si>
    <t>Natural Resources Defense Council</t>
  </si>
  <si>
    <t>The Nature Conservancy</t>
  </si>
  <si>
    <t>Financial Industry Regulatory Authority</t>
  </si>
  <si>
    <t>Nonprofit: Finance</t>
  </si>
  <si>
    <t>Financial Ombudsman Service</t>
  </si>
  <si>
    <t>Harvard Pilgrim Health Care</t>
  </si>
  <si>
    <t>Nonprofit: Healthcare</t>
  </si>
  <si>
    <t>Jewish Board of Family and Children's Services</t>
  </si>
  <si>
    <t>Planned Parenthood</t>
  </si>
  <si>
    <t>Sanford Health</t>
  </si>
  <si>
    <t>SWOG</t>
  </si>
  <si>
    <t>The Task Force For Global Health</t>
  </si>
  <si>
    <t>American Red Cross</t>
  </si>
  <si>
    <t>Nonprofit: Humanitarian Aid Organization</t>
  </si>
  <si>
    <t>International Justice Mission</t>
  </si>
  <si>
    <t>Nonprofit: Legal</t>
  </si>
  <si>
    <t>Legal Aid Society - Employment Law Center</t>
  </si>
  <si>
    <t>Center for Reproductive Rights</t>
  </si>
  <si>
    <t>Nonprofit: Legal Services</t>
  </si>
  <si>
    <t>Legal Aid of North Carolina</t>
  </si>
  <si>
    <t>Westbank Community Library</t>
  </si>
  <si>
    <t>Nonprofit: Libraries</t>
  </si>
  <si>
    <t>Camden Coalition of Healthcare Providers</t>
  </si>
  <si>
    <t>Nonprofit: Medical</t>
  </si>
  <si>
    <t>MOXI, The Wolf Museum of Exploration + Innovation</t>
  </si>
  <si>
    <t>Nonprofit: Museums</t>
  </si>
  <si>
    <t>The Field Museum</t>
  </si>
  <si>
    <t>The World Economic Forum</t>
  </si>
  <si>
    <t>Nonprofit: Political Organization</t>
  </si>
  <si>
    <t>Archdiocese of Chicago</t>
  </si>
  <si>
    <t>Battelle Memorial Institute</t>
  </si>
  <si>
    <t>Charles Stark Draper Laboratory</t>
  </si>
  <si>
    <t>Education Development Center, Inc.</t>
  </si>
  <si>
    <t>HopeLab</t>
  </si>
  <si>
    <t>RTI International</t>
  </si>
  <si>
    <t>The Leukemia &amp; Lymphoma Society</t>
  </si>
  <si>
    <t>American Chemical Society</t>
  </si>
  <si>
    <t>Nonprofit: Science &amp; Technology</t>
  </si>
  <si>
    <t>AICPA</t>
  </si>
  <si>
    <t>Nonprofit: Trade Organization</t>
  </si>
  <si>
    <t>The Georgia Society of CPAs</t>
  </si>
  <si>
    <t>American Canning</t>
  </si>
  <si>
    <t>Packaging</t>
  </si>
  <si>
    <t>Avery Dennison</t>
  </si>
  <si>
    <t>AbbVie Inc.</t>
  </si>
  <si>
    <t>Agios Pharmaceuticals</t>
  </si>
  <si>
    <t>AstraZeneca</t>
  </si>
  <si>
    <t>Bayer AG</t>
  </si>
  <si>
    <t>Bayer HealthCare Pharmaceuticals</t>
  </si>
  <si>
    <t>Envigo</t>
  </si>
  <si>
    <t>Ferring Pharmaceuticals</t>
  </si>
  <si>
    <t>Kite Pharma</t>
  </si>
  <si>
    <t>Merck &amp; Co., Inc.</t>
  </si>
  <si>
    <t>Novartis</t>
  </si>
  <si>
    <t>Oceanic Pharmachem Pvt. Ltd.</t>
  </si>
  <si>
    <t>Otsuka Pharmaceutical</t>
  </si>
  <si>
    <t>Pfizer</t>
  </si>
  <si>
    <t>Reata Pharmaceuticals</t>
  </si>
  <si>
    <t>Recursion Pharmaceuticals</t>
  </si>
  <si>
    <t>Syneos Health</t>
  </si>
  <si>
    <t>Express Scripts Holding</t>
  </si>
  <si>
    <t>OptumRx</t>
  </si>
  <si>
    <t>Chan Zuckerberg Initiative</t>
  </si>
  <si>
    <t>Harold Grinspoon Foundation</t>
  </si>
  <si>
    <t>Open Society Foundations</t>
  </si>
  <si>
    <t>W. K. Kellogg Foundation</t>
  </si>
  <si>
    <t>BCW</t>
  </si>
  <si>
    <t>Public Relations</t>
  </si>
  <si>
    <t>Curley &amp; Pynn</t>
  </si>
  <si>
    <t>Edelman</t>
  </si>
  <si>
    <t>Golin</t>
  </si>
  <si>
    <t>MWWPR</t>
  </si>
  <si>
    <t>Virgo Health</t>
  </si>
  <si>
    <t>American City Business Journals</t>
  </si>
  <si>
    <t>Axel Springer</t>
  </si>
  <si>
    <t>Curriculum Associates</t>
  </si>
  <si>
    <t>Macmillan Learning</t>
  </si>
  <si>
    <t>Mcgraw Hill</t>
  </si>
  <si>
    <t>Penguin Random House</t>
  </si>
  <si>
    <t>NavigatorCRE</t>
  </si>
  <si>
    <t>Keller Williams Realty</t>
  </si>
  <si>
    <t>Real Estate: Brokers</t>
  </si>
  <si>
    <t>Redfin</t>
  </si>
  <si>
    <t>Square Yards</t>
  </si>
  <si>
    <t>Wyse Home Team Realty</t>
  </si>
  <si>
    <t>CBRE</t>
  </si>
  <si>
    <t>HILLS Properties</t>
  </si>
  <si>
    <t>Jones Lang LaSalle</t>
  </si>
  <si>
    <t>Ryan Companies</t>
  </si>
  <si>
    <t>The Howard Hughes Corporation</t>
  </si>
  <si>
    <t>David Weekley Homes</t>
  </si>
  <si>
    <t>Real Estate: Home Building</t>
  </si>
  <si>
    <t>PGIM Real Estate</t>
  </si>
  <si>
    <t>Real Estate: Investment Trust</t>
  </si>
  <si>
    <t>Uniti</t>
  </si>
  <si>
    <t>Blanton Turner</t>
  </si>
  <si>
    <t>Real Estate: Management</t>
  </si>
  <si>
    <t>Love's</t>
  </si>
  <si>
    <t>Retail: Convenience Store</t>
  </si>
  <si>
    <t>Hallmark Cards</t>
  </si>
  <si>
    <t>Retail: Crafts, Fabrics &amp; Party Supplies</t>
  </si>
  <si>
    <t>Michaels</t>
  </si>
  <si>
    <t>Belk</t>
  </si>
  <si>
    <t>Bloomingdale's</t>
  </si>
  <si>
    <t>Macy's</t>
  </si>
  <si>
    <t>Myer</t>
  </si>
  <si>
    <t>Nordstrom</t>
  </si>
  <si>
    <t>Aldi USA</t>
  </si>
  <si>
    <t>Retail: Discount Store</t>
  </si>
  <si>
    <t>BJs Wholesale Club</t>
  </si>
  <si>
    <t>Costco</t>
  </si>
  <si>
    <t>Dollar General</t>
  </si>
  <si>
    <t>Ross Stores</t>
  </si>
  <si>
    <t>Sprouts Farmers Market</t>
  </si>
  <si>
    <t>Best Buy</t>
  </si>
  <si>
    <t>Retail: Electronics</t>
  </si>
  <si>
    <t>Crutchfield</t>
  </si>
  <si>
    <t>Telstra</t>
  </si>
  <si>
    <t>Central Garden &amp; Pet</t>
  </si>
  <si>
    <t>Floor &amp; Decor</t>
  </si>
  <si>
    <t>Sleep Number</t>
  </si>
  <si>
    <t>Williams Sonoma</t>
  </si>
  <si>
    <t>Kroger</t>
  </si>
  <si>
    <t>Retail: General Merchandise</t>
  </si>
  <si>
    <t>LoweÕs Home Improvement</t>
  </si>
  <si>
    <t>Petco</t>
  </si>
  <si>
    <t>Petsmart</t>
  </si>
  <si>
    <t>Tesco PLC</t>
  </si>
  <si>
    <t>Signet Jewelers</t>
  </si>
  <si>
    <t>Retail: Jewelery</t>
  </si>
  <si>
    <t>Drizly</t>
  </si>
  <si>
    <t>Retail: Liquor</t>
  </si>
  <si>
    <t>Custom Ink</t>
  </si>
  <si>
    <t>Retail: Online</t>
  </si>
  <si>
    <t>Overstock.com</t>
  </si>
  <si>
    <t>Zola</t>
  </si>
  <si>
    <t>Academy Sports + Outdoors</t>
  </si>
  <si>
    <t>Retail: Other</t>
  </si>
  <si>
    <t>Accent Decor</t>
  </si>
  <si>
    <t>Guitar Center</t>
  </si>
  <si>
    <t>Marshall Retail Group</t>
  </si>
  <si>
    <t>Uncommon Goods</t>
  </si>
  <si>
    <t>ANN Inc.</t>
  </si>
  <si>
    <t>Athleta</t>
  </si>
  <si>
    <t>Calvin Klein</t>
  </si>
  <si>
    <t>DICK'S Sporting Goods</t>
  </si>
  <si>
    <t>DSW</t>
  </si>
  <si>
    <t>Esprit</t>
  </si>
  <si>
    <t>Evisons</t>
  </si>
  <si>
    <t>Fossil</t>
  </si>
  <si>
    <t>Haggar</t>
  </si>
  <si>
    <t>Hollister</t>
  </si>
  <si>
    <t>J.Crew</t>
  </si>
  <si>
    <t>Jockey International, Inc.</t>
  </si>
  <si>
    <t>Lands' End</t>
  </si>
  <si>
    <t>Levi Strauss &amp; Co.</t>
  </si>
  <si>
    <t>Lululemon Athletica</t>
  </si>
  <si>
    <t>New Balance</t>
  </si>
  <si>
    <t>PVH Corp.</t>
  </si>
  <si>
    <t>Reebok International, Ltd.</t>
  </si>
  <si>
    <t>REI</t>
  </si>
  <si>
    <t>Trunk Club</t>
  </si>
  <si>
    <t>Uniqlo</t>
  </si>
  <si>
    <t>Meredith Digital</t>
  </si>
  <si>
    <t>Retail: Stationary &amp; Office Supplies</t>
  </si>
  <si>
    <t>Office Depot</t>
  </si>
  <si>
    <t>Ahold Delhaize</t>
  </si>
  <si>
    <t>Family Dollar</t>
  </si>
  <si>
    <t>Hy-Vee</t>
  </si>
  <si>
    <t>Lowes Foods</t>
  </si>
  <si>
    <t>CozyKin</t>
  </si>
  <si>
    <t>Services: Daycare</t>
  </si>
  <si>
    <t>EasyWayPaper</t>
  </si>
  <si>
    <t>Services: Other</t>
  </si>
  <si>
    <t>Essay 4 Students</t>
  </si>
  <si>
    <t>Industrious</t>
  </si>
  <si>
    <t>International SOS</t>
  </si>
  <si>
    <t>Sunrun</t>
  </si>
  <si>
    <t>Terminix</t>
  </si>
  <si>
    <t>Uno Assignment Help</t>
  </si>
  <si>
    <t>TransPerfect</t>
  </si>
  <si>
    <t>Services: Translation</t>
  </si>
  <si>
    <t>Clean Harbors, Inc.</t>
  </si>
  <si>
    <t>Services: Waste Management</t>
  </si>
  <si>
    <t>Republic Services, Inc.</t>
  </si>
  <si>
    <t>Waste Connections</t>
  </si>
  <si>
    <t>WIN Waste Innovations</t>
  </si>
  <si>
    <t>Nike</t>
  </si>
  <si>
    <t>Sporting Goods</t>
  </si>
  <si>
    <t>Trek Bikes</t>
  </si>
  <si>
    <t>National Football League</t>
  </si>
  <si>
    <t>Sports</t>
  </si>
  <si>
    <t>Round Rock Express</t>
  </si>
  <si>
    <t>Braze</t>
  </si>
  <si>
    <t>Technology</t>
  </si>
  <si>
    <t>Akamai</t>
  </si>
  <si>
    <t>Amazon Web Services</t>
  </si>
  <si>
    <t>Atos</t>
  </si>
  <si>
    <t>Bepress</t>
  </si>
  <si>
    <t>CACI International</t>
  </si>
  <si>
    <t>CDK Global</t>
  </si>
  <si>
    <t>Chartbeat</t>
  </si>
  <si>
    <t>Cognizant</t>
  </si>
  <si>
    <t>Cubic Corporation</t>
  </si>
  <si>
    <t>Datto, Inc.</t>
  </si>
  <si>
    <t>DMI, Inc.</t>
  </si>
  <si>
    <t>Impinj</t>
  </si>
  <si>
    <t>Iron Mountain</t>
  </si>
  <si>
    <t>Knowable</t>
  </si>
  <si>
    <t>Leidos</t>
  </si>
  <si>
    <t>Luxoft</t>
  </si>
  <si>
    <t>MediaMath</t>
  </si>
  <si>
    <t>MEDITECH</t>
  </si>
  <si>
    <t>MPAY</t>
  </si>
  <si>
    <t>NCR Corporation</t>
  </si>
  <si>
    <t>Optoro</t>
  </si>
  <si>
    <t>Quantcast</t>
  </si>
  <si>
    <t>Recurly</t>
  </si>
  <si>
    <t>Sirius Computer Solutions</t>
  </si>
  <si>
    <t>Teradata</t>
  </si>
  <si>
    <t>Twilio</t>
  </si>
  <si>
    <t>Unisys</t>
  </si>
  <si>
    <t>Volt Information Sciences</t>
  </si>
  <si>
    <t>Wipro</t>
  </si>
  <si>
    <t>Airbnb</t>
  </si>
  <si>
    <t>AOL</t>
  </si>
  <si>
    <t>BentoBox</t>
  </si>
  <si>
    <t>BlaBlaCar</t>
  </si>
  <si>
    <t>Booking.com</t>
  </si>
  <si>
    <t>CampusLogic</t>
  </si>
  <si>
    <t>CarMax</t>
  </si>
  <si>
    <t>Carsales</t>
  </si>
  <si>
    <t>ChowNow</t>
  </si>
  <si>
    <t>Cloudworkers</t>
  </si>
  <si>
    <t>Comoto Holdings</t>
  </si>
  <si>
    <t>Divercity</t>
  </si>
  <si>
    <t>DoorDash</t>
  </si>
  <si>
    <t>Freewheel</t>
  </si>
  <si>
    <t>Genius</t>
  </si>
  <si>
    <t>GoDaddy</t>
  </si>
  <si>
    <t>Groupon</t>
  </si>
  <si>
    <t>Grubhub</t>
  </si>
  <si>
    <t>Ibotta</t>
  </si>
  <si>
    <t>Indiegogo</t>
  </si>
  <si>
    <t>Justworks</t>
  </si>
  <si>
    <t>LaunchGood</t>
  </si>
  <si>
    <t>Lyft</t>
  </si>
  <si>
    <t>Match</t>
  </si>
  <si>
    <t>Match Group</t>
  </si>
  <si>
    <t>Meta</t>
  </si>
  <si>
    <t>MindSumo</t>
  </si>
  <si>
    <t>Nerdwallet</t>
  </si>
  <si>
    <t>Netflix</t>
  </si>
  <si>
    <t>Noom, inc.</t>
  </si>
  <si>
    <t>Offerup</t>
  </si>
  <si>
    <t>OLX Group</t>
  </si>
  <si>
    <t>ON Semiconductor</t>
  </si>
  <si>
    <t>Peapod Digital Labs</t>
  </si>
  <si>
    <t>Postmates</t>
  </si>
  <si>
    <t>Rally Health</t>
  </si>
  <si>
    <t>Reddit</t>
  </si>
  <si>
    <t>Shopify</t>
  </si>
  <si>
    <t>Spotify</t>
  </si>
  <si>
    <t>Spring Health</t>
  </si>
  <si>
    <t>Squarespace</t>
  </si>
  <si>
    <t>Travelzoo</t>
  </si>
  <si>
    <t>Twitter</t>
  </si>
  <si>
    <t>WorkMarket</t>
  </si>
  <si>
    <t>Yelp</t>
  </si>
  <si>
    <t>YouTube</t>
  </si>
  <si>
    <t>Zillow</t>
  </si>
  <si>
    <t>Zumper</t>
  </si>
  <si>
    <t>Enova</t>
  </si>
  <si>
    <t>Funding Circle</t>
  </si>
  <si>
    <t>Kabbage</t>
  </si>
  <si>
    <t>Amazon Games</t>
  </si>
  <si>
    <t>Roblox</t>
  </si>
  <si>
    <t>Advantest</t>
  </si>
  <si>
    <t>Analog Devices</t>
  </si>
  <si>
    <t>Aruba Networks</t>
  </si>
  <si>
    <t>Cadence Design Systems</t>
  </si>
  <si>
    <t>Cirrus Logic</t>
  </si>
  <si>
    <t>Ericsson</t>
  </si>
  <si>
    <t>GlobalFoundries</t>
  </si>
  <si>
    <t>HP Inc.</t>
  </si>
  <si>
    <t>Infineon Technologies</t>
  </si>
  <si>
    <t>Itron</t>
  </si>
  <si>
    <t>Juniper Networks</t>
  </si>
  <si>
    <t>KLA-Tencor Corporation</t>
  </si>
  <si>
    <t>Lenovo</t>
  </si>
  <si>
    <t>Markforged</t>
  </si>
  <si>
    <t>Molecular Devices</t>
  </si>
  <si>
    <t>National Instruments</t>
  </si>
  <si>
    <t>Roku</t>
  </si>
  <si>
    <t>Seagate Technology</t>
  </si>
  <si>
    <t>Siemens Energy</t>
  </si>
  <si>
    <t>Snap Inc.</t>
  </si>
  <si>
    <t>Texas Instruments</t>
  </si>
  <si>
    <t>Currencycloud</t>
  </si>
  <si>
    <t>Gusto</t>
  </si>
  <si>
    <t>Ingenico Group</t>
  </si>
  <si>
    <t>MineralTree</t>
  </si>
  <si>
    <t>Pangea Money Transfer</t>
  </si>
  <si>
    <t>PayPal</t>
  </si>
  <si>
    <t>Plastiq</t>
  </si>
  <si>
    <t>Ramp</t>
  </si>
  <si>
    <t>Square</t>
  </si>
  <si>
    <t>Magic Leap</t>
  </si>
  <si>
    <t>ADT Security Services</t>
  </si>
  <si>
    <t>Alarm.com</t>
  </si>
  <si>
    <t>Brivo</t>
  </si>
  <si>
    <t>Coalfire</t>
  </si>
  <si>
    <t>CrowdStrike</t>
  </si>
  <si>
    <t>Entrust</t>
  </si>
  <si>
    <t>RSA</t>
  </si>
  <si>
    <t>Trustwave Holdings</t>
  </si>
  <si>
    <t>Agilysys</t>
  </si>
  <si>
    <t>Alkami Technology</t>
  </si>
  <si>
    <t>Alteryx</t>
  </si>
  <si>
    <t>Amplitude</t>
  </si>
  <si>
    <t>Anant Corporation</t>
  </si>
  <si>
    <t>Ansys</t>
  </si>
  <si>
    <t>AppDynamics</t>
  </si>
  <si>
    <t>Aquicore</t>
  </si>
  <si>
    <t>ArisGlobal</t>
  </si>
  <si>
    <t>Atlassian</t>
  </si>
  <si>
    <t>Automox</t>
  </si>
  <si>
    <t>Aware, Inc</t>
  </si>
  <si>
    <t>Axon</t>
  </si>
  <si>
    <t>Bentley Systems, Inc.</t>
  </si>
  <si>
    <t>BigCommerce</t>
  </si>
  <si>
    <t>Bitdefender</t>
  </si>
  <si>
    <t>Blackbaud</t>
  </si>
  <si>
    <t>Bullhorn</t>
  </si>
  <si>
    <t>CallRail</t>
  </si>
  <si>
    <t>Canva</t>
  </si>
  <si>
    <t>CareValidate</t>
  </si>
  <si>
    <t>CentralSquare Technologies</t>
  </si>
  <si>
    <t>Ceridian</t>
  </si>
  <si>
    <t>Citrix</t>
  </si>
  <si>
    <t>ClearPoint Strategy</t>
  </si>
  <si>
    <t>Cludo</t>
  </si>
  <si>
    <t>Collective Health</t>
  </si>
  <si>
    <t>Collibra</t>
  </si>
  <si>
    <t>Community Brands</t>
  </si>
  <si>
    <t>ConsenSys</t>
  </si>
  <si>
    <t>Conviva</t>
  </si>
  <si>
    <t>Convoy</t>
  </si>
  <si>
    <t>Coupa</t>
  </si>
  <si>
    <t>Dassault Systemes</t>
  </si>
  <si>
    <t>Detechtion Technologies</t>
  </si>
  <si>
    <t>Digit</t>
  </si>
  <si>
    <t>DISCO</t>
  </si>
  <si>
    <t>Donnelley Financial Solutions</t>
  </si>
  <si>
    <t>Doximity</t>
  </si>
  <si>
    <t>DxMinds Technologies Inc</t>
  </si>
  <si>
    <t>Dynatrace</t>
  </si>
  <si>
    <t>Ellevation Education</t>
  </si>
  <si>
    <t>Engrain</t>
  </si>
  <si>
    <t>ePublishing</t>
  </si>
  <si>
    <t>Esri</t>
  </si>
  <si>
    <t>Expeed Software</t>
  </si>
  <si>
    <t>Fearless</t>
  </si>
  <si>
    <t>Flexera Software</t>
  </si>
  <si>
    <t>FreshBooks</t>
  </si>
  <si>
    <t>Freshworks</t>
  </si>
  <si>
    <t>Frontline Education</t>
  </si>
  <si>
    <t>Fusion Risk Management</t>
  </si>
  <si>
    <t>GlossGenius</t>
  </si>
  <si>
    <t>Gong</t>
  </si>
  <si>
    <t>GoodCore Software</t>
  </si>
  <si>
    <t>Higher Logic</t>
  </si>
  <si>
    <t>HubSpot, Inc.</t>
  </si>
  <si>
    <t>Hudl</t>
  </si>
  <si>
    <t>iCIMS, Inc.</t>
  </si>
  <si>
    <t>Infor</t>
  </si>
  <si>
    <t>Informatica</t>
  </si>
  <si>
    <t>InsightSquared</t>
  </si>
  <si>
    <t>Instructure</t>
  </si>
  <si>
    <t>Integrity Software</t>
  </si>
  <si>
    <t>Intellimize</t>
  </si>
  <si>
    <t>Intuit, Inc</t>
  </si>
  <si>
    <t>JHC Systems</t>
  </si>
  <si>
    <t>Juice Analytics</t>
  </si>
  <si>
    <t>Kajabi</t>
  </si>
  <si>
    <t>Khoros</t>
  </si>
  <si>
    <t>LevaData</t>
  </si>
  <si>
    <t>Lionbridge</t>
  </si>
  <si>
    <t>Lithero</t>
  </si>
  <si>
    <t>Mad Mobile</t>
  </si>
  <si>
    <t>Maestro</t>
  </si>
  <si>
    <t>Mapbox</t>
  </si>
  <si>
    <t>MaritzCX</t>
  </si>
  <si>
    <t>Medallia</t>
  </si>
  <si>
    <t>Microsoft</t>
  </si>
  <si>
    <t>MicroStrategy</t>
  </si>
  <si>
    <t>MobileIron</t>
  </si>
  <si>
    <t>Mode Mobile</t>
  </si>
  <si>
    <t>MongoDB, Inc.</t>
  </si>
  <si>
    <t>Motus LLC</t>
  </si>
  <si>
    <t>Netskope</t>
  </si>
  <si>
    <t>NetSuite Inc.</t>
  </si>
  <si>
    <t>New Relic</t>
  </si>
  <si>
    <t>Nextech</t>
  </si>
  <si>
    <t>NextGen Healthcare</t>
  </si>
  <si>
    <t>Nutanix</t>
  </si>
  <si>
    <t>OfferFit</t>
  </si>
  <si>
    <t>Palantir</t>
  </si>
  <si>
    <t>PandaDoc</t>
  </si>
  <si>
    <t>panOpen</t>
  </si>
  <si>
    <t>Panopto, Inc.</t>
  </si>
  <si>
    <t>Patron Technology</t>
  </si>
  <si>
    <t>Paylocity</t>
  </si>
  <si>
    <t>Pear Therapeutics</t>
  </si>
  <si>
    <t>Persistent Systems</t>
  </si>
  <si>
    <t>Pexip</t>
  </si>
  <si>
    <t>PhotoShelter</t>
  </si>
  <si>
    <t>Praxent</t>
  </si>
  <si>
    <t>Privitar Ltd</t>
  </si>
  <si>
    <t>Procore Technologies</t>
  </si>
  <si>
    <t>Qualtrics</t>
  </si>
  <si>
    <t>Rangle.io</t>
  </si>
  <si>
    <t>Red Hat</t>
  </si>
  <si>
    <t>Rosetta Stone</t>
  </si>
  <si>
    <t>Safety Labs Inc</t>
  </si>
  <si>
    <t>Sage</t>
  </si>
  <si>
    <t>SAP</t>
  </si>
  <si>
    <t>SAS</t>
  </si>
  <si>
    <t>Screencastify</t>
  </si>
  <si>
    <t>ServiceTitan</t>
  </si>
  <si>
    <t>Siemens Digital Industries Software</t>
  </si>
  <si>
    <t>Signzy Technology Private Limited</t>
  </si>
  <si>
    <t>SmartBear Software</t>
  </si>
  <si>
    <t>Splunk</t>
  </si>
  <si>
    <t>Storable</t>
  </si>
  <si>
    <t>Tableau Software</t>
  </si>
  <si>
    <t>Taboola</t>
  </si>
  <si>
    <t>Talkdesk</t>
  </si>
  <si>
    <t>TIBCO Software</t>
  </si>
  <si>
    <t>Triton Digital</t>
  </si>
  <si>
    <t>Veeva Systems</t>
  </si>
  <si>
    <t>VMware</t>
  </si>
  <si>
    <t>WGU Labs</t>
  </si>
  <si>
    <t>Workday</t>
  </si>
  <si>
    <t>WorkJam</t>
  </si>
  <si>
    <t>Wrike, Inc.</t>
  </si>
  <si>
    <t>Xactly Corporation</t>
  </si>
  <si>
    <t>Xandr</t>
  </si>
  <si>
    <t>Zapier</t>
  </si>
  <si>
    <t xml:space="preserve"> Charter Communications</t>
  </si>
  <si>
    <t>Asurion</t>
  </si>
  <si>
    <t>AT&amp;T</t>
  </si>
  <si>
    <t>Ciena</t>
  </si>
  <si>
    <t>Comcast</t>
  </si>
  <si>
    <t>Cox</t>
  </si>
  <si>
    <t>G Fiber</t>
  </si>
  <si>
    <t>Hughes Network Systems</t>
  </si>
  <si>
    <t>Qualcomm Incorporated</t>
  </si>
  <si>
    <t>RingCentral, Inc.</t>
  </si>
  <si>
    <t>Telnyx</t>
  </si>
  <si>
    <t>Viettel Group</t>
  </si>
  <si>
    <t>Zara</t>
  </si>
  <si>
    <t>Textiles</t>
  </si>
  <si>
    <t>FlixBus</t>
  </si>
  <si>
    <t>Transportation: Bus</t>
  </si>
  <si>
    <t>UPS</t>
  </si>
  <si>
    <t>CSX Corporation</t>
  </si>
  <si>
    <t>Dematic</t>
  </si>
  <si>
    <t>Echo Global Logistics</t>
  </si>
  <si>
    <t>Redwood Logistics</t>
  </si>
  <si>
    <t>Transplace</t>
  </si>
  <si>
    <t>UniGroup</t>
  </si>
  <si>
    <t>American Airlines</t>
  </si>
  <si>
    <t>Transportation: Passenger Air</t>
  </si>
  <si>
    <t>Southwest Airlines</t>
  </si>
  <si>
    <t>United Airlines</t>
  </si>
  <si>
    <t>Amtrak</t>
  </si>
  <si>
    <t>BNSF Logistics</t>
  </si>
  <si>
    <t>Kansas City Southern</t>
  </si>
  <si>
    <t>Avis Budget Group, Inc.</t>
  </si>
  <si>
    <t>Transportation: Rental</t>
  </si>
  <si>
    <t>Enterprise Holdings</t>
  </si>
  <si>
    <t>Hertz Global Holdings, Inc.</t>
  </si>
  <si>
    <t>ISO New England</t>
  </si>
  <si>
    <t>Utilities</t>
  </si>
  <si>
    <t>Equinox</t>
  </si>
  <si>
    <t>THE WELL</t>
  </si>
  <si>
    <t>C&amp;S Wholesale Grocers</t>
  </si>
  <si>
    <t>Martine's Wines</t>
  </si>
  <si>
    <t>Sonepar</t>
  </si>
  <si>
    <t>Sonepar USA</t>
  </si>
  <si>
    <t>Worldwide Produce</t>
  </si>
  <si>
    <t>Daggerwing Group Inc.</t>
  </si>
  <si>
    <t>KBS</t>
  </si>
  <si>
    <t>Wilson Dow Group</t>
  </si>
  <si>
    <t>Compass Group PLC</t>
  </si>
  <si>
    <t>Hays PLC</t>
  </si>
  <si>
    <t>S.i. Systems</t>
  </si>
  <si>
    <t>Vectrus</t>
  </si>
  <si>
    <t>Scentsy</t>
  </si>
  <si>
    <t>Yankee Candle</t>
  </si>
  <si>
    <t>Weill Cornell Medicine</t>
  </si>
  <si>
    <t>Round Rock ISD</t>
  </si>
  <si>
    <t>Austin Independent School District</t>
  </si>
  <si>
    <t>Bain Capital</t>
  </si>
  <si>
    <t>KKR &amp; Co. LP</t>
  </si>
  <si>
    <t>Nationwide Building Society</t>
  </si>
  <si>
    <t>Carbon Health</t>
  </si>
  <si>
    <t>Nemours</t>
  </si>
  <si>
    <t>ProMedica</t>
  </si>
  <si>
    <t>Trinity Health System</t>
  </si>
  <si>
    <t>University Hospitals</t>
  </si>
  <si>
    <t>NxStage Medical, Inc.</t>
  </si>
  <si>
    <t>Intercontinental Hotels Group</t>
  </si>
  <si>
    <t>Waffle House</t>
  </si>
  <si>
    <t>Whataburger</t>
  </si>
  <si>
    <t>Pella Windows and Doors</t>
  </si>
  <si>
    <t>American Bridge Company</t>
  </si>
  <si>
    <t>Black &amp; Veatch</t>
  </si>
  <si>
    <t>Bhel</t>
  </si>
  <si>
    <t>Macy's Technology</t>
  </si>
  <si>
    <t>Wisetech Global</t>
  </si>
  <si>
    <t>Yext</t>
  </si>
  <si>
    <t>Matrix Absence Management, Inc.</t>
  </si>
  <si>
    <t>Elevance Health</t>
  </si>
  <si>
    <t>Auto-Owners Insurance</t>
  </si>
  <si>
    <t>Hapag-Lloyd</t>
  </si>
  <si>
    <t>Maritime</t>
  </si>
  <si>
    <t>BASF</t>
  </si>
  <si>
    <t>Alpha Natural Resources</t>
  </si>
  <si>
    <t>Barrick Gold Corporation</t>
  </si>
  <si>
    <t>BP</t>
  </si>
  <si>
    <t>Halliburton</t>
  </si>
  <si>
    <t>National Oilwell Varco, Inc.</t>
  </si>
  <si>
    <t>Silicon Valley Employers Forum</t>
  </si>
  <si>
    <t>SPEEA</t>
  </si>
  <si>
    <t>AmerisourceBergen</t>
  </si>
  <si>
    <t>Transwestern</t>
  </si>
  <si>
    <t>Trader JoeÕs</t>
  </si>
  <si>
    <t>Harrods</t>
  </si>
  <si>
    <t>Tractor Supply Company</t>
  </si>
  <si>
    <t>American Eagle Outfitters</t>
  </si>
  <si>
    <t>LVMH</t>
  </si>
  <si>
    <t>Steve Madden</t>
  </si>
  <si>
    <t>Food Lion</t>
  </si>
  <si>
    <t>Bright Horizons</t>
  </si>
  <si>
    <t>Talent Inc.</t>
  </si>
  <si>
    <t>SHI International Corp.</t>
  </si>
  <si>
    <t>Vistaprint</t>
  </si>
  <si>
    <t>Fujifilm Global</t>
  </si>
  <si>
    <t>PlayStation</t>
  </si>
  <si>
    <t>Druva</t>
  </si>
  <si>
    <t>SurveyGizmo</t>
  </si>
  <si>
    <t>Xero</t>
  </si>
  <si>
    <t>Fedex Supply Chain</t>
  </si>
  <si>
    <t>Schneider National</t>
  </si>
  <si>
    <t>HD Supply</t>
  </si>
  <si>
    <t>Merrimac Industrial Sales</t>
  </si>
  <si>
    <t>Offers paid Maternity Leave?</t>
  </si>
  <si>
    <t>Offers Paid Paternity leave?</t>
  </si>
  <si>
    <t xml:space="preserve">Offers Unpaid Paternity Leave? </t>
  </si>
  <si>
    <t>Offers Unpaid Maternity leave?</t>
  </si>
  <si>
    <t>Row Labels</t>
  </si>
  <si>
    <t>Grand Total</t>
  </si>
  <si>
    <t>Count of Company</t>
  </si>
  <si>
    <t>Sum of Offers paid Maternity Leave?</t>
  </si>
  <si>
    <t>Sum of Offers Paid Paternity leave?</t>
  </si>
  <si>
    <t xml:space="preserve">Sum of Offers Unpaid Paternity Leave? </t>
  </si>
  <si>
    <t>Sum of Offers Unpaid Maternity leave?</t>
  </si>
  <si>
    <t xml:space="preserve">Offers paid maternity leave </t>
  </si>
  <si>
    <t>Offers paid paternity leave</t>
  </si>
  <si>
    <t>offers unpaid paternity leave</t>
  </si>
  <si>
    <t>offers unpaid maternity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</si>
</sst>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ita Adakeja" refreshedDate="46002.676737615744" createdVersion="8" refreshedVersion="8" minRefreshableVersion="3" recordCount="1601" xr:uid="{53C02117-65A2-4EB6-873A-77546E78E1E1}">
  <cacheSource type="worksheet">
    <worksheetSource ref="A1:L1602" sheet="data_dictionary"/>
  </cacheSource>
  <cacheFields count="13">
    <cacheField name="Company" numFmtId="0">
      <sharedItems/>
    </cacheField>
    <cacheField name="Industry" numFmtId="0">
      <sharedItems count="186">
        <s v="Advertising"/>
        <s v="Arts &amp; Entertainment"/>
        <s v="Business Services: Other"/>
        <s v="Business Services: Staffing &amp; Outsourcing"/>
        <s v="Consulting Services"/>
        <s v="Consumer Packaged Goods: Packaged Foods"/>
        <s v="Defense &amp; Space"/>
        <s v="Educational Services: College &amp; Universities"/>
        <s v="Electronics: Manufacturing"/>
        <s v="Finance: Asset Management"/>
        <s v="Government: Contractor"/>
        <s v="Government: County"/>
        <s v="Government: Federal"/>
        <s v="Healthcare: Diversified"/>
        <s v="Healthcare: Hospitals &amp; Clinics"/>
        <s v="Industrial: Equipment Manufacturing"/>
        <s v="Insurance: Health"/>
        <s v="Media: Television"/>
        <s v="Natural Resources: Metals &amp; Mining"/>
        <s v="Nonprofit: Religious"/>
        <s v="Pharmaceutical"/>
        <s v="Pharmacies &amp; Drug Stores"/>
        <s v="Real Estate"/>
        <s v="Real Estate: Development &amp; Management"/>
        <s v="Retail: Shoes, Accessories and Apparel"/>
        <s v="Technology: B2B Tech Services"/>
        <s v="Technology: Consumer Internet"/>
        <s v="Technology: Gaming"/>
        <s v="Technology: Research"/>
        <s v="Technology: Software"/>
        <s v="Telecommunications"/>
        <s v="Accounting Services"/>
        <s v="Aerospace"/>
        <s v="Automotive: Manufacturers"/>
        <s v="Automotive: Parts Manufacturing"/>
        <s v="Business Services: Human Resources"/>
        <s v="Business Services: Technology Solutions"/>
        <s v="Conglomerate"/>
        <s v="Consumer Packaged Goods: Beverages"/>
        <s v="Consumer Packaged Goods: Packaged Products"/>
        <s v="Consumer Packaged Goods: Toys &amp; Baby Products"/>
        <s v="Cosmetics"/>
        <s v="Educational Services: E-Learning"/>
        <s v="Finance: Credit &amp; Fund Services"/>
        <s v="Finance: Diversified"/>
        <s v="Finance: Loans"/>
        <s v="Finance: Personal &amp; Commercial Banking"/>
        <s v="Government: International"/>
        <s v="Healthcare: Animal Health"/>
        <s v="Healthcare: Biotechnology"/>
        <s v="Healthcare: Laboratory Testing"/>
        <s v="Healthcare: Medical Devices"/>
        <s v="Healthcare: Telemedicine"/>
        <s v="Hospitality: Hotels"/>
        <s v="Hospitality: Restaurants"/>
        <s v="Industrial: Architecture &amp; Design"/>
        <s v="Industrial: Building Materials Manufacturing"/>
        <s v="Industrial: Construction Company"/>
        <s v="Industrial: Diversified"/>
        <s v="Industrial: Other"/>
        <s v="Information Services: Diversified"/>
        <s v="Information Services: Financial"/>
        <s v="Information Services: Technology"/>
        <s v="Insurance: Diversified"/>
        <s v="Insurance: Life"/>
        <s v="Insurance: Property &amp; Casualty"/>
        <s v="Law Firm"/>
        <s v="Leisure, Travel &amp; Tourism"/>
        <s v="Media: Diversified"/>
        <s v="Natural Resources: Agriculture and Food Processing"/>
        <s v="Natural Resources: Chemicals"/>
        <s v="Natural Resources: Electric &amp; Gas Utility"/>
        <s v="Natural Resources: Electric Power Generation"/>
        <s v="Natural Resources: Oil &amp; Gas"/>
        <s v="Natural Resources: Renewables &amp; Environment"/>
        <s v="Nonprofit: Charity"/>
        <s v="Nonprofit: Education"/>
        <s v="Nonprofit: Human Rights Advocacy"/>
        <s v="Nonprofit: Public Policy"/>
        <s v="Nonprofit: Research"/>
        <s v="Philanthropy"/>
        <s v="Printing"/>
        <s v="Publishing"/>
        <s v="Real Estate: Other"/>
        <s v="Retail: Department Store"/>
        <s v="Retail: Furniture &amp; Home Improvement"/>
        <s v="Retail: Supermarket Company"/>
        <s v="Technology: Financial Services"/>
        <s v="Technology: Manufacturing"/>
        <s v="Technology: Payments"/>
        <s v="Technology: Security"/>
        <s v="Transportation: Couriers &amp; Delivery"/>
        <s v="Transportation: Freight &amp; Logistics"/>
        <s v="Transportation: Rail"/>
        <s v="Wellness &amp; Fitness"/>
        <s v="Wholesale"/>
        <s v="Advertising: Market Research"/>
        <s v="Automotive: Dealers"/>
        <s v="Automotive: Parts"/>
        <s v="Automotive: Products &amp; Services"/>
        <s v="Business Services: Food &amp; Hospitality"/>
        <s v="Business Services: Security"/>
        <s v="Computer &amp; Network Security"/>
        <s v="Computer Software"/>
        <s v="Consumer Packaged Goods: Tobacco"/>
        <s v="Design"/>
        <s v="Educational Services: Management"/>
        <s v="Educational Services: Other"/>
        <s v="Educational Services: Preschool"/>
        <s v="Educational Services: Professional Training"/>
        <s v="Educational Services: School"/>
        <s v="Educational Services: Tutoring"/>
        <s v="Engineering"/>
        <s v="Finance"/>
        <s v="Finance: Credit Unions"/>
        <s v="Finance: Life"/>
        <s v="Finance: Venture Capital"/>
        <s v="Government: City"/>
        <s v="Government: State"/>
        <s v="Healthcare: Behavioral"/>
        <s v="Healthcare: Family Care"/>
        <s v="Healthcare: Products"/>
        <s v="Healthcare: Services"/>
        <s v="Hospitality"/>
        <s v="Hospitality: Foodservice Distributors"/>
        <s v="Hospitality: Meal Kit Delivery"/>
        <s v="Hospitality: Resorts"/>
        <s v="Industrial: Appliances &amp; Furniture"/>
        <s v="Industrial: Engineering"/>
        <s v="Industrial: Materials"/>
        <s v="Information Services: Legal"/>
        <s v="Insurance"/>
        <s v="Insurance: Brokerage"/>
        <s v="Insurance: Reinsurance"/>
        <s v="Legal Services"/>
        <s v="Media"/>
        <s v="Media: Entertainment"/>
        <s v="Media: Magazines"/>
        <s v="Media: News"/>
        <s v="N/A"/>
        <s v="Natural Resources: Agrochemical"/>
        <s v="Natural Resources: Diversified Energy"/>
        <s v="Natural Resources: Oilfield Services"/>
        <s v="Nonprofit: Civic &amp; Social"/>
        <s v="Nonprofit: Development"/>
        <s v="Nonprofit: Environmental Organization"/>
        <s v="Nonprofit: Finance"/>
        <s v="Nonprofit: Healthcare"/>
        <s v="Nonprofit: Humanitarian Aid Organization"/>
        <s v="Nonprofit: Legal"/>
        <s v="Nonprofit: Legal Services"/>
        <s v="Nonprofit: Libraries"/>
        <s v="Nonprofit: Medical"/>
        <s v="Nonprofit: Museums"/>
        <s v="Nonprofit: Political Organization"/>
        <s v="Nonprofit: Science &amp; Technology"/>
        <s v="Nonprofit: Trade Organization"/>
        <s v="Packaging"/>
        <s v="Public Relations"/>
        <s v="Real Estate: Brokers"/>
        <s v="Real Estate: Home Building"/>
        <s v="Real Estate: Investment Trust"/>
        <s v="Real Estate: Management"/>
        <s v="Retail: Convenience Store"/>
        <s v="Retail: Crafts, Fabrics &amp; Party Supplies"/>
        <s v="Retail: Discount Store"/>
        <s v="Retail: Electronics"/>
        <s v="Retail: General Merchandise"/>
        <s v="Retail: Jewelery"/>
        <s v="Retail: Liquor"/>
        <s v="Retail: Online"/>
        <s v="Retail: Other"/>
        <s v="Retail: Stationary &amp; Office Supplies"/>
        <s v="Services: Daycare"/>
        <s v="Services: Other"/>
        <s v="Services: Translation"/>
        <s v="Services: Waste Management"/>
        <s v="Sporting Goods"/>
        <s v="Sports"/>
        <s v="Technology"/>
        <s v="Textiles"/>
        <s v="Transportation: Bus"/>
        <s v="Transportation: Passenger Air"/>
        <s v="Transportation: Rental"/>
        <s v="Utilities"/>
        <s v="Maritime"/>
      </sharedItems>
    </cacheField>
    <cacheField name="Paid Maternity Leave" numFmtId="0">
      <sharedItems containsSemiMixedTypes="0" containsString="0" containsNumber="1" minValue="0" maxValue="52" count="59">
        <n v="6"/>
        <n v="5"/>
        <n v="14"/>
        <n v="20.5"/>
        <n v="8"/>
        <n v="16"/>
        <n v="3"/>
        <n v="0"/>
        <n v="12"/>
        <n v="4"/>
        <n v="2.5"/>
        <n v="18"/>
        <n v="15"/>
        <n v="9"/>
        <n v="24"/>
        <n v="11"/>
        <n v="7.5"/>
        <n v="3.5"/>
        <n v="9.5"/>
        <n v="51"/>
        <n v="26"/>
        <n v="21"/>
        <n v="2"/>
        <n v="20"/>
        <n v="10"/>
        <n v="11.5"/>
        <n v="28"/>
        <n v="30"/>
        <n v="32.5"/>
        <n v="23"/>
        <n v="6.5"/>
        <n v="5.5"/>
        <n v="7"/>
        <n v="39"/>
        <n v="8.5"/>
        <n v="13"/>
        <n v="19"/>
        <n v="17"/>
        <n v="1"/>
        <n v="36"/>
        <n v="48"/>
        <n v="4.5"/>
        <n v="25"/>
        <n v="13.5"/>
        <n v="10.5"/>
        <n v="52"/>
        <n v="19.5"/>
        <n v="32"/>
        <n v="42"/>
        <n v="12.5"/>
        <n v="16.5"/>
        <n v="1.5"/>
        <n v="46"/>
        <n v="18.5"/>
        <n v="27"/>
        <n v="22"/>
        <n v="15.5"/>
        <n v="40"/>
        <n v="50"/>
      </sharedItems>
    </cacheField>
    <cacheField name="Unpaid Maternity Leave" numFmtId="0">
      <sharedItems containsString="0" containsBlank="1" containsNumber="1" minValue="0" maxValue="52"/>
    </cacheField>
    <cacheField name="Paid Paternity Leave" numFmtId="0">
      <sharedItems containsString="0" containsBlank="1" containsNumber="1" minValue="0" maxValue="51"/>
    </cacheField>
    <cacheField name="Unpaid Paternity Leave" numFmtId="0">
      <sharedItems containsString="0" containsBlank="1" containsNumber="1" containsInteger="1" minValue="0" maxValue="29"/>
    </cacheField>
    <cacheField name="Total Maternity Leave" numFmtId="0">
      <sharedItems containsSemiMixedTypes="0" containsString="0" containsNumber="1" minValue="0" maxValue="104"/>
    </cacheField>
    <cacheField name="Total Paternity Leave" numFmtId="0">
      <sharedItems containsSemiMixedTypes="0" containsString="0" containsNumber="1" minValue="0" maxValue="51"/>
    </cacheField>
    <cacheField name="Offers paid Maternity Leave?" numFmtId="0">
      <sharedItems containsSemiMixedTypes="0" containsString="0" containsNumber="1" containsInteger="1" minValue="0" maxValue="1" count="2">
        <n v="1"/>
        <n v="0"/>
      </sharedItems>
    </cacheField>
    <cacheField name="Offers Paid Paternity leave?" numFmtId="0">
      <sharedItems containsSemiMixedTypes="0" containsString="0" containsNumber="1" containsInteger="1" minValue="0" maxValue="1"/>
    </cacheField>
    <cacheField name="Offers Unpaid Paternity Leave? " numFmtId="0">
      <sharedItems containsSemiMixedTypes="0" containsString="0" containsNumber="1" containsInteger="1" minValue="0" maxValue="1"/>
    </cacheField>
    <cacheField name="Offers Unpaid Maternity leave?" numFmtId="0">
      <sharedItems containsSemiMixedTypes="0" containsString="0" containsNumber="1" containsInteger="1" minValue="0" maxValue="1"/>
    </cacheField>
    <cacheField name="Percentage offering paid maternty leave" numFmtId="0" formula=" &quot;Sum of Offers paid Maternity Leave?&quot;/ &quot;Count of Company&quot;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1">
  <r>
    <s v="Epsilon"/>
    <x v="0"/>
    <x v="0"/>
    <n v="6"/>
    <n v="6"/>
    <n v="6"/>
    <n v="12"/>
    <n v="12"/>
    <x v="0"/>
    <n v="1"/>
    <n v="1"/>
    <n v="1"/>
  </r>
  <r>
    <s v="The Walt Disney Company"/>
    <x v="1"/>
    <x v="1"/>
    <n v="4"/>
    <n v="4.5"/>
    <n v="4"/>
    <n v="9"/>
    <n v="8.5"/>
    <x v="0"/>
    <n v="1"/>
    <n v="1"/>
    <n v="1"/>
  </r>
  <r>
    <s v="Guild Education"/>
    <x v="2"/>
    <x v="2"/>
    <n v="0"/>
    <n v="8"/>
    <n v="4"/>
    <n v="14"/>
    <n v="12"/>
    <x v="0"/>
    <n v="1"/>
    <n v="1"/>
    <n v="0"/>
  </r>
  <r>
    <s v="WeWork"/>
    <x v="2"/>
    <x v="2"/>
    <n v="2"/>
    <n v="16"/>
    <n v="4"/>
    <n v="16"/>
    <n v="20"/>
    <x v="0"/>
    <n v="1"/>
    <n v="1"/>
    <n v="1"/>
  </r>
  <r>
    <s v="Randstad USA"/>
    <x v="3"/>
    <x v="1"/>
    <n v="7"/>
    <n v="0"/>
    <n v="0"/>
    <n v="12"/>
    <n v="0"/>
    <x v="0"/>
    <n v="0"/>
    <n v="0"/>
    <n v="1"/>
  </r>
  <r>
    <s v="Bain &amp; Company"/>
    <x v="4"/>
    <x v="3"/>
    <n v="5"/>
    <n v="21"/>
    <n v="5"/>
    <n v="25.5"/>
    <n v="26"/>
    <x v="0"/>
    <n v="1"/>
    <n v="1"/>
    <n v="1"/>
  </r>
  <r>
    <s v="World 50"/>
    <x v="4"/>
    <x v="4"/>
    <n v="12"/>
    <n v="1"/>
    <n v="12"/>
    <n v="20"/>
    <n v="13"/>
    <x v="0"/>
    <n v="1"/>
    <n v="1"/>
    <n v="1"/>
  </r>
  <r>
    <s v="ConAgra Foods, Inc."/>
    <x v="5"/>
    <x v="0"/>
    <n v="6"/>
    <n v="2"/>
    <n v="6"/>
    <n v="12"/>
    <n v="8"/>
    <x v="0"/>
    <n v="1"/>
    <n v="1"/>
    <n v="1"/>
  </r>
  <r>
    <s v="Anduril Industries"/>
    <x v="6"/>
    <x v="5"/>
    <n v="0"/>
    <n v="16"/>
    <n v="0"/>
    <n v="16"/>
    <n v="16"/>
    <x v="0"/>
    <n v="1"/>
    <n v="0"/>
    <n v="0"/>
  </r>
  <r>
    <s v="Northrop Grumman"/>
    <x v="6"/>
    <x v="6"/>
    <n v="12"/>
    <n v="2"/>
    <n v="12"/>
    <n v="15"/>
    <n v="14"/>
    <x v="0"/>
    <n v="1"/>
    <n v="1"/>
    <n v="1"/>
  </r>
  <r>
    <s v="The University of Vermont"/>
    <x v="7"/>
    <x v="7"/>
    <n v="12"/>
    <n v="0"/>
    <n v="12"/>
    <n v="12"/>
    <n v="12"/>
    <x v="1"/>
    <n v="0"/>
    <n v="1"/>
    <n v="1"/>
  </r>
  <r>
    <s v="Belden"/>
    <x v="8"/>
    <x v="7"/>
    <n v="12"/>
    <n v="0"/>
    <n v="12"/>
    <n v="12"/>
    <n v="12"/>
    <x v="1"/>
    <n v="0"/>
    <n v="1"/>
    <n v="1"/>
  </r>
  <r>
    <s v="Motorola Solutions"/>
    <x v="8"/>
    <x v="0"/>
    <n v="7.5"/>
    <n v="0"/>
    <n v="6"/>
    <n v="13.5"/>
    <n v="6"/>
    <x v="0"/>
    <n v="0"/>
    <n v="1"/>
    <n v="1"/>
  </r>
  <r>
    <s v="MFS Investment Management"/>
    <x v="9"/>
    <x v="5"/>
    <n v="2"/>
    <n v="12"/>
    <n v="0"/>
    <n v="18"/>
    <n v="12"/>
    <x v="0"/>
    <n v="1"/>
    <n v="0"/>
    <n v="1"/>
  </r>
  <r>
    <s v="PIMCO"/>
    <x v="9"/>
    <x v="8"/>
    <n v="12"/>
    <n v="3"/>
    <n v="12"/>
    <n v="24"/>
    <n v="15"/>
    <x v="0"/>
    <n v="1"/>
    <n v="1"/>
    <n v="1"/>
  </r>
  <r>
    <s v="Sandia National Laboratories"/>
    <x v="10"/>
    <x v="0"/>
    <n v="6"/>
    <n v="6"/>
    <n v="6"/>
    <n v="12"/>
    <n v="12"/>
    <x v="0"/>
    <n v="1"/>
    <n v="1"/>
    <n v="1"/>
  </r>
  <r>
    <s v="Los Angeles County"/>
    <x v="11"/>
    <x v="7"/>
    <n v="12"/>
    <n v="0"/>
    <n v="12"/>
    <n v="12"/>
    <n v="12"/>
    <x v="1"/>
    <n v="0"/>
    <n v="1"/>
    <n v="1"/>
  </r>
  <r>
    <s v="Federal Reserve Bank of Chicago"/>
    <x v="12"/>
    <x v="8"/>
    <n v="0"/>
    <n v="6"/>
    <n v="0"/>
    <n v="12"/>
    <n v="6"/>
    <x v="0"/>
    <n v="1"/>
    <n v="0"/>
    <n v="0"/>
  </r>
  <r>
    <s v="Southern Health Partners"/>
    <x v="13"/>
    <x v="9"/>
    <n v="8"/>
    <n v="2"/>
    <n v="2"/>
    <n v="12"/>
    <n v="4"/>
    <x v="0"/>
    <n v="1"/>
    <n v="1"/>
    <n v="1"/>
  </r>
  <r>
    <s v="Denver Health Medical Center"/>
    <x v="14"/>
    <x v="10"/>
    <n v="10.5"/>
    <n v="0"/>
    <n v="12"/>
    <n v="13"/>
    <n v="12"/>
    <x v="0"/>
    <n v="0"/>
    <n v="1"/>
    <n v="1"/>
  </r>
  <r>
    <s v="Kohler Co."/>
    <x v="15"/>
    <x v="0"/>
    <n v="6"/>
    <n v="2"/>
    <n v="12"/>
    <n v="12"/>
    <n v="14"/>
    <x v="0"/>
    <n v="1"/>
    <n v="1"/>
    <n v="1"/>
  </r>
  <r>
    <s v="UnitedHealth Group"/>
    <x v="16"/>
    <x v="9"/>
    <n v="8"/>
    <n v="5"/>
    <n v="4"/>
    <n v="12"/>
    <n v="9"/>
    <x v="0"/>
    <n v="1"/>
    <n v="1"/>
    <n v="1"/>
  </r>
  <r>
    <s v="TEGNA"/>
    <x v="17"/>
    <x v="8"/>
    <n v="12"/>
    <n v="2"/>
    <n v="12"/>
    <n v="24"/>
    <n v="14"/>
    <x v="0"/>
    <n v="1"/>
    <n v="1"/>
    <n v="1"/>
  </r>
  <r>
    <s v="BHP Billiton Ltd."/>
    <x v="18"/>
    <x v="11"/>
    <n v="34"/>
    <n v="2"/>
    <n v="8"/>
    <n v="52"/>
    <n v="10"/>
    <x v="0"/>
    <n v="1"/>
    <n v="1"/>
    <n v="1"/>
  </r>
  <r>
    <s v="Roman Catholic Archdiocese of Philadelphia"/>
    <x v="19"/>
    <x v="7"/>
    <n v="12"/>
    <n v="0"/>
    <n v="12"/>
    <n v="12"/>
    <n v="12"/>
    <x v="1"/>
    <n v="0"/>
    <n v="1"/>
    <n v="1"/>
  </r>
  <r>
    <s v="Bristol Myers Squibb"/>
    <x v="20"/>
    <x v="12"/>
    <n v="0"/>
    <n v="8"/>
    <n v="16"/>
    <n v="15"/>
    <n v="24"/>
    <x v="0"/>
    <n v="1"/>
    <n v="1"/>
    <n v="0"/>
  </r>
  <r>
    <s v="Walgreens"/>
    <x v="21"/>
    <x v="0"/>
    <n v="3"/>
    <n v="8"/>
    <n v="24"/>
    <n v="9"/>
    <n v="32"/>
    <x v="0"/>
    <n v="1"/>
    <n v="1"/>
    <n v="1"/>
  </r>
  <r>
    <s v="Invitation Homes"/>
    <x v="22"/>
    <x v="0"/>
    <n v="6"/>
    <n v="6"/>
    <n v="3"/>
    <n v="12"/>
    <n v="9"/>
    <x v="0"/>
    <n v="1"/>
    <n v="1"/>
    <n v="1"/>
  </r>
  <r>
    <s v="Cushman &amp; Wakefield"/>
    <x v="23"/>
    <x v="13"/>
    <n v="0"/>
    <n v="6"/>
    <n v="6"/>
    <n v="9"/>
    <n v="12"/>
    <x v="0"/>
    <n v="1"/>
    <n v="1"/>
    <n v="0"/>
  </r>
  <r>
    <s v="L Brands, Inc."/>
    <x v="24"/>
    <x v="2"/>
    <n v="0"/>
    <n v="6"/>
    <n v="6"/>
    <n v="14"/>
    <n v="12"/>
    <x v="0"/>
    <n v="1"/>
    <n v="1"/>
    <n v="0"/>
  </r>
  <r>
    <s v="Chronosphere"/>
    <x v="25"/>
    <x v="5"/>
    <n v="8"/>
    <n v="16"/>
    <n v="8"/>
    <n v="24"/>
    <n v="24"/>
    <x v="0"/>
    <n v="1"/>
    <n v="1"/>
    <n v="1"/>
  </r>
  <r>
    <s v="Dropbox"/>
    <x v="26"/>
    <x v="14"/>
    <n v="0"/>
    <n v="24"/>
    <n v="24"/>
    <n v="24"/>
    <n v="48"/>
    <x v="0"/>
    <n v="1"/>
    <n v="1"/>
    <n v="0"/>
  </r>
  <r>
    <s v="Fairygodboss Inc."/>
    <x v="26"/>
    <x v="8"/>
    <n v="0"/>
    <n v="21"/>
    <n v="3"/>
    <n v="12"/>
    <n v="24"/>
    <x v="0"/>
    <n v="1"/>
    <n v="1"/>
    <n v="0"/>
  </r>
  <r>
    <s v="SiriusXM &amp; Pandora"/>
    <x v="26"/>
    <x v="2"/>
    <n v="0"/>
    <n v="14"/>
    <n v="2"/>
    <n v="14"/>
    <n v="16"/>
    <x v="0"/>
    <n v="1"/>
    <n v="1"/>
    <n v="0"/>
  </r>
  <r>
    <s v="Stack Overflow"/>
    <x v="26"/>
    <x v="5"/>
    <n v="0"/>
    <n v="16"/>
    <n v="8"/>
    <n v="16"/>
    <n v="24"/>
    <x v="0"/>
    <n v="1"/>
    <n v="1"/>
    <n v="0"/>
  </r>
  <r>
    <s v="Electronic Arts"/>
    <x v="27"/>
    <x v="15"/>
    <n v="12"/>
    <n v="11"/>
    <n v="12"/>
    <n v="23"/>
    <n v="23"/>
    <x v="0"/>
    <n v="1"/>
    <n v="1"/>
    <n v="1"/>
  </r>
  <r>
    <s v="Ginkgo Bioworks"/>
    <x v="28"/>
    <x v="8"/>
    <n v="0"/>
    <n v="2"/>
    <n v="0"/>
    <n v="12"/>
    <n v="2"/>
    <x v="0"/>
    <n v="1"/>
    <n v="0"/>
    <n v="0"/>
  </r>
  <r>
    <s v="Avalara"/>
    <x v="29"/>
    <x v="8"/>
    <n v="15"/>
    <n v="12"/>
    <n v="12"/>
    <n v="27"/>
    <n v="24"/>
    <x v="0"/>
    <n v="1"/>
    <n v="1"/>
    <n v="1"/>
  </r>
  <r>
    <s v="Cornerstone OnDemand"/>
    <x v="29"/>
    <x v="2"/>
    <n v="0"/>
    <n v="6"/>
    <n v="12"/>
    <n v="14"/>
    <n v="18"/>
    <x v="0"/>
    <n v="1"/>
    <n v="1"/>
    <n v="0"/>
  </r>
  <r>
    <s v="ExamSoft Worldwide, Inc."/>
    <x v="29"/>
    <x v="9"/>
    <n v="12"/>
    <n v="2"/>
    <n v="12"/>
    <n v="16"/>
    <n v="14"/>
    <x v="0"/>
    <n v="1"/>
    <n v="1"/>
    <n v="1"/>
  </r>
  <r>
    <s v="Medidata Solutions"/>
    <x v="29"/>
    <x v="5"/>
    <n v="24"/>
    <n v="16"/>
    <n v="24"/>
    <n v="40"/>
    <n v="40"/>
    <x v="0"/>
    <n v="1"/>
    <n v="1"/>
    <n v="1"/>
  </r>
  <r>
    <s v="Sulzer US, LLC"/>
    <x v="29"/>
    <x v="9"/>
    <n v="12"/>
    <n v="2"/>
    <n v="12"/>
    <n v="16"/>
    <n v="14"/>
    <x v="0"/>
    <n v="1"/>
    <n v="1"/>
    <n v="1"/>
  </r>
  <r>
    <s v="Thryv"/>
    <x v="29"/>
    <x v="7"/>
    <n v="3"/>
    <n v="0"/>
    <n v="0"/>
    <n v="3"/>
    <n v="0"/>
    <x v="1"/>
    <n v="0"/>
    <n v="0"/>
    <n v="1"/>
  </r>
  <r>
    <s v="T-Mobile"/>
    <x v="30"/>
    <x v="16"/>
    <n v="3"/>
    <n v="3"/>
    <n v="4"/>
    <n v="10.5"/>
    <n v="7"/>
    <x v="0"/>
    <n v="1"/>
    <n v="1"/>
    <n v="1"/>
  </r>
  <r>
    <s v="CBIZ"/>
    <x v="31"/>
    <x v="17"/>
    <n v="6"/>
    <n v="1"/>
    <m/>
    <n v="9.5"/>
    <n v="1"/>
    <x v="0"/>
    <n v="1"/>
    <n v="0"/>
    <n v="1"/>
  </r>
  <r>
    <s v="CliftonLarsonAllen"/>
    <x v="31"/>
    <x v="18"/>
    <n v="6"/>
    <n v="6"/>
    <m/>
    <n v="15.5"/>
    <n v="6"/>
    <x v="0"/>
    <n v="1"/>
    <n v="0"/>
    <n v="1"/>
  </r>
  <r>
    <s v="Forvis"/>
    <x v="31"/>
    <x v="8"/>
    <m/>
    <n v="2"/>
    <n v="12"/>
    <n v="12"/>
    <n v="14"/>
    <x v="0"/>
    <n v="1"/>
    <n v="1"/>
    <n v="0"/>
  </r>
  <r>
    <s v="Grant Thornton"/>
    <x v="31"/>
    <x v="19"/>
    <n v="51"/>
    <n v="51"/>
    <m/>
    <n v="102"/>
    <n v="51"/>
    <x v="0"/>
    <n v="1"/>
    <n v="0"/>
    <n v="1"/>
  </r>
  <r>
    <s v="RSM US"/>
    <x v="31"/>
    <x v="8"/>
    <n v="0"/>
    <n v="7"/>
    <m/>
    <n v="12"/>
    <n v="7"/>
    <x v="0"/>
    <n v="1"/>
    <n v="0"/>
    <n v="0"/>
  </r>
  <r>
    <s v="LiveRamp"/>
    <x v="0"/>
    <x v="5"/>
    <n v="6"/>
    <n v="16"/>
    <m/>
    <n v="22"/>
    <n v="16"/>
    <x v="0"/>
    <n v="1"/>
    <n v="0"/>
    <n v="1"/>
  </r>
  <r>
    <s v="Boeing"/>
    <x v="32"/>
    <x v="8"/>
    <n v="9"/>
    <n v="12"/>
    <m/>
    <n v="21"/>
    <n v="12"/>
    <x v="0"/>
    <n v="1"/>
    <n v="0"/>
    <n v="1"/>
  </r>
  <r>
    <s v="Cessna Aircraft Company"/>
    <x v="32"/>
    <x v="4"/>
    <n v="10"/>
    <n v="12"/>
    <m/>
    <n v="18"/>
    <n v="12"/>
    <x v="0"/>
    <n v="1"/>
    <n v="0"/>
    <n v="1"/>
  </r>
  <r>
    <s v="Collins Aerospace"/>
    <x v="32"/>
    <x v="8"/>
    <n v="0"/>
    <n v="4"/>
    <m/>
    <n v="12"/>
    <n v="4"/>
    <x v="0"/>
    <n v="1"/>
    <n v="0"/>
    <n v="0"/>
  </r>
  <r>
    <s v="Collins Aerospace"/>
    <x v="32"/>
    <x v="9"/>
    <n v="12"/>
    <n v="4"/>
    <m/>
    <n v="16"/>
    <n v="4"/>
    <x v="0"/>
    <n v="1"/>
    <n v="0"/>
    <n v="1"/>
  </r>
  <r>
    <s v="Lockheed Martin Corporation"/>
    <x v="32"/>
    <x v="0"/>
    <n v="1"/>
    <n v="4"/>
    <m/>
    <n v="7"/>
    <n v="4"/>
    <x v="0"/>
    <n v="1"/>
    <n v="0"/>
    <n v="1"/>
  </r>
  <r>
    <s v="FCA US LLC"/>
    <x v="33"/>
    <x v="16"/>
    <n v="1"/>
    <n v="6"/>
    <m/>
    <n v="8.5"/>
    <n v="6"/>
    <x v="0"/>
    <n v="1"/>
    <n v="0"/>
    <n v="1"/>
  </r>
  <r>
    <s v="Ford Motor Company"/>
    <x v="33"/>
    <x v="8"/>
    <n v="0"/>
    <n v="8"/>
    <m/>
    <n v="12"/>
    <n v="8"/>
    <x v="0"/>
    <n v="1"/>
    <n v="0"/>
    <n v="0"/>
  </r>
  <r>
    <s v="General Motors"/>
    <x v="33"/>
    <x v="8"/>
    <n v="12"/>
    <n v="12"/>
    <m/>
    <n v="24"/>
    <n v="12"/>
    <x v="0"/>
    <n v="1"/>
    <n v="0"/>
    <n v="1"/>
  </r>
  <r>
    <s v="Toyota North America"/>
    <x v="33"/>
    <x v="0"/>
    <n v="1.5"/>
    <n v="0"/>
    <m/>
    <n v="7.5"/>
    <n v="0"/>
    <x v="0"/>
    <n v="0"/>
    <n v="0"/>
    <n v="1"/>
  </r>
  <r>
    <s v="Johnson Controls"/>
    <x v="34"/>
    <x v="0"/>
    <n v="6"/>
    <n v="0"/>
    <m/>
    <n v="12"/>
    <n v="0"/>
    <x v="0"/>
    <n v="0"/>
    <n v="0"/>
    <n v="1"/>
  </r>
  <r>
    <s v="ADP"/>
    <x v="35"/>
    <x v="0"/>
    <n v="6"/>
    <n v="16"/>
    <m/>
    <n v="12"/>
    <n v="16"/>
    <x v="0"/>
    <n v="1"/>
    <n v="0"/>
    <n v="1"/>
  </r>
  <r>
    <s v="IHS Markit Ltd."/>
    <x v="2"/>
    <x v="20"/>
    <n v="13"/>
    <n v="2"/>
    <m/>
    <n v="39"/>
    <n v="2"/>
    <x v="0"/>
    <n v="1"/>
    <n v="0"/>
    <n v="1"/>
  </r>
  <r>
    <s v="Samsung Research America"/>
    <x v="2"/>
    <x v="0"/>
    <n v="0"/>
    <n v="6"/>
    <m/>
    <n v="6"/>
    <n v="6"/>
    <x v="0"/>
    <n v="1"/>
    <n v="0"/>
    <n v="0"/>
  </r>
  <r>
    <s v="Adecco Group North America"/>
    <x v="3"/>
    <x v="8"/>
    <n v="6"/>
    <n v="0"/>
    <m/>
    <n v="18"/>
    <n v="0"/>
    <x v="0"/>
    <n v="0"/>
    <n v="0"/>
    <n v="1"/>
  </r>
  <r>
    <s v="CGI"/>
    <x v="36"/>
    <x v="4"/>
    <n v="0"/>
    <n v="2"/>
    <m/>
    <n v="8"/>
    <n v="2"/>
    <x v="0"/>
    <n v="1"/>
    <n v="0"/>
    <n v="0"/>
  </r>
  <r>
    <s v="Paychex"/>
    <x v="36"/>
    <x v="13"/>
    <n v="3"/>
    <n v="6"/>
    <m/>
    <n v="12"/>
    <n v="6"/>
    <x v="0"/>
    <n v="1"/>
    <n v="0"/>
    <n v="1"/>
  </r>
  <r>
    <s v="Ecolab, Inc."/>
    <x v="37"/>
    <x v="13"/>
    <n v="0"/>
    <n v="6"/>
    <m/>
    <n v="9"/>
    <n v="6"/>
    <x v="0"/>
    <n v="1"/>
    <n v="0"/>
    <n v="0"/>
  </r>
  <r>
    <s v="Siemens"/>
    <x v="37"/>
    <x v="0"/>
    <n v="0.5"/>
    <n v="2"/>
    <m/>
    <n v="6.5"/>
    <n v="2"/>
    <x v="0"/>
    <n v="1"/>
    <n v="0"/>
    <n v="1"/>
  </r>
  <r>
    <s v="84.51¡"/>
    <x v="4"/>
    <x v="8"/>
    <n v="0"/>
    <n v="4"/>
    <m/>
    <n v="12"/>
    <n v="4"/>
    <x v="0"/>
    <n v="1"/>
    <n v="0"/>
    <n v="0"/>
  </r>
  <r>
    <s v="Boston Consulting Group"/>
    <x v="4"/>
    <x v="5"/>
    <n v="0"/>
    <n v="8"/>
    <m/>
    <n v="16"/>
    <n v="8"/>
    <x v="0"/>
    <n v="1"/>
    <n v="0"/>
    <n v="0"/>
  </r>
  <r>
    <s v="Deloitte"/>
    <x v="4"/>
    <x v="5"/>
    <n v="4"/>
    <n v="9"/>
    <m/>
    <n v="20"/>
    <n v="9"/>
    <x v="0"/>
    <n v="1"/>
    <n v="0"/>
    <n v="1"/>
  </r>
  <r>
    <s v="KPMG"/>
    <x v="4"/>
    <x v="8"/>
    <n v="10"/>
    <n v="12"/>
    <m/>
    <n v="22"/>
    <n v="12"/>
    <x v="0"/>
    <n v="1"/>
    <n v="0"/>
    <n v="1"/>
  </r>
  <r>
    <s v="McKinsey &amp; Company"/>
    <x v="4"/>
    <x v="5"/>
    <n v="26"/>
    <n v="8"/>
    <m/>
    <n v="42"/>
    <n v="8"/>
    <x v="0"/>
    <n v="1"/>
    <n v="0"/>
    <n v="1"/>
  </r>
  <r>
    <s v="Pariveda"/>
    <x v="4"/>
    <x v="0"/>
    <n v="0"/>
    <n v="6"/>
    <m/>
    <n v="6"/>
    <n v="6"/>
    <x v="0"/>
    <n v="1"/>
    <n v="0"/>
    <n v="0"/>
  </r>
  <r>
    <s v="Protiviti"/>
    <x v="4"/>
    <x v="13"/>
    <n v="0"/>
    <n v="10"/>
    <m/>
    <n v="9"/>
    <n v="10"/>
    <x v="0"/>
    <n v="1"/>
    <n v="0"/>
    <n v="0"/>
  </r>
  <r>
    <s v="Slalom"/>
    <x v="4"/>
    <x v="2"/>
    <n v="0"/>
    <n v="4"/>
    <m/>
    <n v="14"/>
    <n v="4"/>
    <x v="0"/>
    <n v="1"/>
    <n v="0"/>
    <n v="0"/>
  </r>
  <r>
    <s v="Campari America"/>
    <x v="38"/>
    <x v="8"/>
    <m/>
    <n v="12"/>
    <n v="6"/>
    <n v="12"/>
    <n v="18"/>
    <x v="0"/>
    <n v="1"/>
    <n v="1"/>
    <n v="0"/>
  </r>
  <r>
    <s v="Miller Coors"/>
    <x v="38"/>
    <x v="5"/>
    <n v="34"/>
    <n v="16"/>
    <m/>
    <n v="50"/>
    <n v="16"/>
    <x v="0"/>
    <n v="1"/>
    <n v="0"/>
    <n v="1"/>
  </r>
  <r>
    <s v="General Mills"/>
    <x v="5"/>
    <x v="11"/>
    <n v="12"/>
    <n v="12"/>
    <m/>
    <n v="30"/>
    <n v="12"/>
    <x v="0"/>
    <n v="1"/>
    <n v="0"/>
    <n v="1"/>
  </r>
  <r>
    <s v="Mondelez International, Inc."/>
    <x v="5"/>
    <x v="0"/>
    <n v="9.5"/>
    <n v="6"/>
    <m/>
    <n v="15.5"/>
    <n v="6"/>
    <x v="0"/>
    <n v="1"/>
    <n v="0"/>
    <n v="1"/>
  </r>
  <r>
    <s v="Johnson &amp; Johnson"/>
    <x v="39"/>
    <x v="5"/>
    <n v="24"/>
    <n v="8"/>
    <m/>
    <n v="40"/>
    <n v="8"/>
    <x v="0"/>
    <n v="1"/>
    <n v="0"/>
    <n v="1"/>
  </r>
  <r>
    <s v="Reckitt Benckiser"/>
    <x v="39"/>
    <x v="21"/>
    <n v="31"/>
    <n v="16"/>
    <m/>
    <n v="52"/>
    <n v="16"/>
    <x v="0"/>
    <n v="1"/>
    <n v="0"/>
    <n v="1"/>
  </r>
  <r>
    <s v="Unilever"/>
    <x v="39"/>
    <x v="5"/>
    <n v="4"/>
    <n v="8"/>
    <m/>
    <n v="20"/>
    <n v="8"/>
    <x v="0"/>
    <n v="1"/>
    <n v="0"/>
    <n v="1"/>
  </r>
  <r>
    <s v="Hasbro Inc."/>
    <x v="40"/>
    <x v="11"/>
    <n v="18"/>
    <m/>
    <n v="13"/>
    <n v="36"/>
    <n v="13"/>
    <x v="0"/>
    <n v="0"/>
    <n v="1"/>
    <n v="1"/>
  </r>
  <r>
    <s v="L'OrŽal USA"/>
    <x v="41"/>
    <x v="8"/>
    <n v="0"/>
    <n v="8"/>
    <m/>
    <n v="12"/>
    <n v="8"/>
    <x v="0"/>
    <n v="1"/>
    <n v="0"/>
    <n v="0"/>
  </r>
  <r>
    <s v="Raytheon Technologies"/>
    <x v="6"/>
    <x v="16"/>
    <n v="3"/>
    <n v="3"/>
    <m/>
    <n v="10.5"/>
    <n v="3"/>
    <x v="0"/>
    <n v="1"/>
    <n v="0"/>
    <n v="1"/>
  </r>
  <r>
    <s v="Rice University"/>
    <x v="7"/>
    <x v="0"/>
    <n v="6"/>
    <n v="0"/>
    <m/>
    <n v="12"/>
    <n v="0"/>
    <x v="0"/>
    <n v="0"/>
    <n v="0"/>
    <n v="1"/>
  </r>
  <r>
    <s v="University of Minnesota"/>
    <x v="7"/>
    <x v="0"/>
    <n v="6"/>
    <n v="6"/>
    <m/>
    <n v="12"/>
    <n v="6"/>
    <x v="0"/>
    <n v="1"/>
    <n v="0"/>
    <n v="1"/>
  </r>
  <r>
    <s v="Walden University"/>
    <x v="7"/>
    <x v="0"/>
    <n v="6"/>
    <n v="1"/>
    <m/>
    <n v="12"/>
    <n v="1"/>
    <x v="0"/>
    <n v="1"/>
    <n v="0"/>
    <n v="1"/>
  </r>
  <r>
    <s v="Cengage Learning"/>
    <x v="42"/>
    <x v="8"/>
    <n v="0"/>
    <n v="12"/>
    <m/>
    <n v="12"/>
    <n v="12"/>
    <x v="0"/>
    <n v="1"/>
    <n v="0"/>
    <n v="0"/>
  </r>
  <r>
    <s v="Samsung Electronics"/>
    <x v="8"/>
    <x v="22"/>
    <n v="12"/>
    <n v="2"/>
    <m/>
    <n v="14"/>
    <n v="2"/>
    <x v="0"/>
    <n v="1"/>
    <n v="0"/>
    <n v="1"/>
  </r>
  <r>
    <s v="Apollo Global Management"/>
    <x v="9"/>
    <x v="5"/>
    <m/>
    <n v="2"/>
    <n v="0"/>
    <n v="16"/>
    <n v="2"/>
    <x v="0"/>
    <n v="1"/>
    <n v="0"/>
    <n v="0"/>
  </r>
  <r>
    <s v="Capital Group"/>
    <x v="9"/>
    <x v="8"/>
    <n v="0"/>
    <n v="18"/>
    <m/>
    <n v="12"/>
    <n v="18"/>
    <x v="0"/>
    <n v="1"/>
    <n v="0"/>
    <n v="0"/>
  </r>
  <r>
    <s v="Merrill"/>
    <x v="9"/>
    <x v="15"/>
    <n v="6"/>
    <n v="16"/>
    <m/>
    <n v="17"/>
    <n v="16"/>
    <x v="0"/>
    <n v="1"/>
    <n v="0"/>
    <n v="1"/>
  </r>
  <r>
    <s v="Discover Financial Services"/>
    <x v="43"/>
    <x v="5"/>
    <n v="0"/>
    <n v="2"/>
    <m/>
    <n v="16"/>
    <n v="2"/>
    <x v="0"/>
    <n v="1"/>
    <n v="0"/>
    <n v="0"/>
  </r>
  <r>
    <s v="Mastercard"/>
    <x v="43"/>
    <x v="5"/>
    <n v="0"/>
    <n v="16"/>
    <m/>
    <n v="16"/>
    <n v="16"/>
    <x v="0"/>
    <n v="1"/>
    <n v="0"/>
    <n v="0"/>
  </r>
  <r>
    <s v="Ally Financial"/>
    <x v="44"/>
    <x v="8"/>
    <n v="0"/>
    <n v="12"/>
    <m/>
    <n v="12"/>
    <n v="12"/>
    <x v="0"/>
    <n v="1"/>
    <n v="0"/>
    <n v="0"/>
  </r>
  <r>
    <s v="Ameriprise Financial"/>
    <x v="44"/>
    <x v="8"/>
    <n v="4"/>
    <n v="2"/>
    <m/>
    <n v="16"/>
    <n v="2"/>
    <x v="0"/>
    <n v="1"/>
    <n v="0"/>
    <n v="1"/>
  </r>
  <r>
    <s v="Charles Schwab"/>
    <x v="44"/>
    <x v="4"/>
    <n v="6"/>
    <n v="6"/>
    <m/>
    <n v="14"/>
    <n v="6"/>
    <x v="0"/>
    <n v="1"/>
    <n v="0"/>
    <n v="1"/>
  </r>
  <r>
    <s v="Citigroup"/>
    <x v="44"/>
    <x v="5"/>
    <n v="4"/>
    <n v="4.5"/>
    <m/>
    <n v="20"/>
    <n v="4.5"/>
    <x v="0"/>
    <n v="1"/>
    <n v="0"/>
    <n v="1"/>
  </r>
  <r>
    <s v="Deutsche Bank"/>
    <x v="44"/>
    <x v="5"/>
    <n v="5"/>
    <n v="16"/>
    <m/>
    <n v="21"/>
    <n v="16"/>
    <x v="0"/>
    <n v="1"/>
    <n v="0"/>
    <n v="1"/>
  </r>
  <r>
    <s v="DTCC"/>
    <x v="44"/>
    <x v="5"/>
    <n v="4"/>
    <n v="16"/>
    <m/>
    <n v="20"/>
    <n v="16"/>
    <x v="0"/>
    <n v="1"/>
    <n v="0"/>
    <n v="1"/>
  </r>
  <r>
    <s v="Goldman Sachs"/>
    <x v="44"/>
    <x v="23"/>
    <n v="3"/>
    <n v="20"/>
    <m/>
    <n v="23"/>
    <n v="20"/>
    <x v="0"/>
    <n v="1"/>
    <n v="0"/>
    <n v="1"/>
  </r>
  <r>
    <s v="Macquarie Group"/>
    <x v="44"/>
    <x v="5"/>
    <n v="0"/>
    <n v="6"/>
    <m/>
    <n v="16"/>
    <n v="6"/>
    <x v="0"/>
    <n v="1"/>
    <n v="0"/>
    <n v="0"/>
  </r>
  <r>
    <s v="Northern Trust"/>
    <x v="44"/>
    <x v="24"/>
    <n v="6"/>
    <n v="10"/>
    <m/>
    <n v="16"/>
    <n v="10"/>
    <x v="0"/>
    <n v="1"/>
    <n v="0"/>
    <n v="1"/>
  </r>
  <r>
    <s v="Raymond James"/>
    <x v="44"/>
    <x v="5"/>
    <n v="0"/>
    <n v="4"/>
    <m/>
    <n v="16"/>
    <n v="4"/>
    <x v="0"/>
    <n v="1"/>
    <n v="0"/>
    <n v="0"/>
  </r>
  <r>
    <s v="RBC Wealth Management"/>
    <x v="44"/>
    <x v="25"/>
    <n v="10"/>
    <n v="4"/>
    <m/>
    <n v="21.5"/>
    <n v="4"/>
    <x v="0"/>
    <n v="1"/>
    <n v="0"/>
    <n v="1"/>
  </r>
  <r>
    <s v="Silicon Valley Bank"/>
    <x v="44"/>
    <x v="8"/>
    <n v="0"/>
    <n v="12"/>
    <m/>
    <n v="12"/>
    <n v="12"/>
    <x v="0"/>
    <n v="1"/>
    <n v="0"/>
    <n v="0"/>
  </r>
  <r>
    <s v="UBS"/>
    <x v="44"/>
    <x v="14"/>
    <n v="24"/>
    <n v="20"/>
    <m/>
    <n v="48"/>
    <n v="20"/>
    <x v="0"/>
    <n v="1"/>
    <n v="0"/>
    <n v="1"/>
  </r>
  <r>
    <s v="Wells Fargo"/>
    <x v="44"/>
    <x v="5"/>
    <n v="5"/>
    <n v="4"/>
    <m/>
    <n v="21"/>
    <n v="4"/>
    <x v="0"/>
    <n v="1"/>
    <n v="0"/>
    <n v="1"/>
  </r>
  <r>
    <s v="William Blair"/>
    <x v="44"/>
    <x v="11"/>
    <n v="0"/>
    <n v="2"/>
    <m/>
    <n v="18"/>
    <n v="2"/>
    <x v="0"/>
    <n v="1"/>
    <n v="0"/>
    <n v="0"/>
  </r>
  <r>
    <s v="SoFi"/>
    <x v="45"/>
    <x v="9"/>
    <n v="5"/>
    <n v="2"/>
    <m/>
    <n v="9"/>
    <n v="2"/>
    <x v="0"/>
    <n v="1"/>
    <n v="0"/>
    <n v="1"/>
  </r>
  <r>
    <s v="PNC Financial Services Group"/>
    <x v="46"/>
    <x v="8"/>
    <n v="0"/>
    <n v="6"/>
    <m/>
    <n v="12"/>
    <n v="6"/>
    <x v="0"/>
    <n v="1"/>
    <n v="0"/>
    <n v="0"/>
  </r>
  <r>
    <s v="TD Bank"/>
    <x v="46"/>
    <x v="5"/>
    <n v="13"/>
    <n v="16"/>
    <m/>
    <n v="29"/>
    <n v="16"/>
    <x v="0"/>
    <n v="1"/>
    <n v="0"/>
    <n v="1"/>
  </r>
  <r>
    <s v="TIAA Bank"/>
    <x v="46"/>
    <x v="26"/>
    <n v="0"/>
    <n v="16"/>
    <m/>
    <n v="28"/>
    <n v="16"/>
    <x v="0"/>
    <n v="1"/>
    <n v="0"/>
    <n v="0"/>
  </r>
  <r>
    <s v="OECD"/>
    <x v="47"/>
    <x v="2"/>
    <n v="0"/>
    <n v="4"/>
    <m/>
    <n v="14"/>
    <n v="4"/>
    <x v="0"/>
    <n v="1"/>
    <n v="0"/>
    <n v="0"/>
  </r>
  <r>
    <s v="Banfield Pet Hospital"/>
    <x v="48"/>
    <x v="0"/>
    <n v="12"/>
    <n v="4"/>
    <m/>
    <n v="18"/>
    <n v="4"/>
    <x v="0"/>
    <n v="1"/>
    <n v="0"/>
    <n v="1"/>
  </r>
  <r>
    <s v="Illumina"/>
    <x v="49"/>
    <x v="0"/>
    <n v="3"/>
    <n v="6"/>
    <m/>
    <n v="9"/>
    <n v="6"/>
    <x v="0"/>
    <n v="1"/>
    <n v="0"/>
    <n v="1"/>
  </r>
  <r>
    <s v="Thermo Fisher Scientific"/>
    <x v="49"/>
    <x v="25"/>
    <n v="1"/>
    <n v="3"/>
    <m/>
    <n v="12.5"/>
    <n v="3"/>
    <x v="0"/>
    <n v="1"/>
    <n v="0"/>
    <n v="1"/>
  </r>
  <r>
    <s v="CVS Health"/>
    <x v="13"/>
    <x v="9"/>
    <n v="4"/>
    <n v="4"/>
    <m/>
    <n v="8"/>
    <n v="4"/>
    <x v="0"/>
    <n v="1"/>
    <n v="0"/>
    <n v="1"/>
  </r>
  <r>
    <s v="Fresenius"/>
    <x v="13"/>
    <x v="9"/>
    <n v="12"/>
    <n v="0"/>
    <m/>
    <n v="16"/>
    <n v="0"/>
    <x v="0"/>
    <n v="0"/>
    <n v="0"/>
    <n v="1"/>
  </r>
  <r>
    <s v="Aurora Health Care"/>
    <x v="14"/>
    <x v="7"/>
    <n v="12"/>
    <m/>
    <n v="0"/>
    <n v="12"/>
    <n v="0"/>
    <x v="1"/>
    <n v="0"/>
    <n v="0"/>
    <n v="1"/>
  </r>
  <r>
    <s v="Mayo Clinic"/>
    <x v="14"/>
    <x v="1"/>
    <n v="6.5"/>
    <n v="0"/>
    <m/>
    <n v="11.5"/>
    <n v="0"/>
    <x v="0"/>
    <n v="0"/>
    <n v="0"/>
    <n v="1"/>
  </r>
  <r>
    <s v="Universal Health Services, Inc."/>
    <x v="14"/>
    <x v="7"/>
    <n v="12"/>
    <n v="0"/>
    <m/>
    <n v="12"/>
    <n v="0"/>
    <x v="1"/>
    <n v="0"/>
    <n v="0"/>
    <n v="1"/>
  </r>
  <r>
    <s v="University of Pittsburgh Medical Center"/>
    <x v="14"/>
    <x v="22"/>
    <n v="6"/>
    <n v="2"/>
    <m/>
    <n v="8"/>
    <n v="2"/>
    <x v="0"/>
    <n v="1"/>
    <n v="0"/>
    <n v="1"/>
  </r>
  <r>
    <s v="Quest Diagnostics"/>
    <x v="50"/>
    <x v="0"/>
    <n v="0"/>
    <m/>
    <n v="0"/>
    <n v="6"/>
    <n v="0"/>
    <x v="0"/>
    <n v="0"/>
    <n v="0"/>
    <n v="0"/>
  </r>
  <r>
    <s v="Becton, Dickinson and Company"/>
    <x v="51"/>
    <x v="0"/>
    <n v="12"/>
    <n v="6"/>
    <m/>
    <n v="18"/>
    <n v="6"/>
    <x v="0"/>
    <n v="1"/>
    <n v="0"/>
    <n v="1"/>
  </r>
  <r>
    <s v="Medtronic"/>
    <x v="51"/>
    <x v="8"/>
    <n v="2"/>
    <n v="0"/>
    <m/>
    <n v="14"/>
    <n v="0"/>
    <x v="0"/>
    <n v="0"/>
    <n v="0"/>
    <n v="1"/>
  </r>
  <r>
    <s v="Zimmer Biomet"/>
    <x v="51"/>
    <x v="4"/>
    <n v="4"/>
    <n v="6"/>
    <m/>
    <n v="12"/>
    <n v="6"/>
    <x v="0"/>
    <n v="1"/>
    <n v="0"/>
    <n v="1"/>
  </r>
  <r>
    <s v="Flatiron Health"/>
    <x v="52"/>
    <x v="27"/>
    <n v="15"/>
    <n v="30"/>
    <m/>
    <n v="45"/>
    <n v="30"/>
    <x v="0"/>
    <n v="1"/>
    <n v="0"/>
    <n v="1"/>
  </r>
  <r>
    <s v="Choice Hotels"/>
    <x v="53"/>
    <x v="8"/>
    <n v="0"/>
    <n v="4"/>
    <m/>
    <n v="12"/>
    <n v="4"/>
    <x v="0"/>
    <n v="1"/>
    <n v="0"/>
    <n v="0"/>
  </r>
  <r>
    <s v="Marriott International"/>
    <x v="53"/>
    <x v="4"/>
    <n v="8"/>
    <n v="8"/>
    <m/>
    <n v="16"/>
    <n v="8"/>
    <x v="0"/>
    <n v="1"/>
    <n v="0"/>
    <n v="1"/>
  </r>
  <r>
    <s v="McDonald's"/>
    <x v="54"/>
    <x v="8"/>
    <n v="12"/>
    <m/>
    <n v="29"/>
    <n v="24"/>
    <n v="29"/>
    <x v="0"/>
    <n v="0"/>
    <n v="1"/>
    <n v="1"/>
  </r>
  <r>
    <s v="Starbucks"/>
    <x v="54"/>
    <x v="0"/>
    <n v="9"/>
    <n v="6"/>
    <m/>
    <n v="15"/>
    <n v="6"/>
    <x v="0"/>
    <n v="1"/>
    <n v="0"/>
    <n v="1"/>
  </r>
  <r>
    <s v="Perkins + Will"/>
    <x v="55"/>
    <x v="9"/>
    <n v="0"/>
    <n v="4"/>
    <m/>
    <n v="4"/>
    <n v="4"/>
    <x v="0"/>
    <n v="1"/>
    <n v="0"/>
    <n v="0"/>
  </r>
  <r>
    <s v="Owens Corning"/>
    <x v="56"/>
    <x v="9"/>
    <n v="4"/>
    <m/>
    <n v="2"/>
    <n v="8"/>
    <n v="2"/>
    <x v="0"/>
    <n v="0"/>
    <n v="1"/>
    <n v="1"/>
  </r>
  <r>
    <s v="Power Home Remodeling"/>
    <x v="57"/>
    <x v="8"/>
    <n v="0"/>
    <n v="3"/>
    <m/>
    <n v="12"/>
    <n v="3"/>
    <x v="0"/>
    <n v="1"/>
    <n v="0"/>
    <n v="0"/>
  </r>
  <r>
    <s v="3M"/>
    <x v="58"/>
    <x v="24"/>
    <n v="10"/>
    <m/>
    <n v="10"/>
    <n v="20"/>
    <n v="10"/>
    <x v="0"/>
    <n v="0"/>
    <n v="1"/>
    <n v="1"/>
  </r>
  <r>
    <s v="Parker Hannifin"/>
    <x v="58"/>
    <x v="9"/>
    <n v="8"/>
    <n v="0"/>
    <m/>
    <n v="12"/>
    <n v="0"/>
    <x v="0"/>
    <n v="0"/>
    <n v="0"/>
    <n v="1"/>
  </r>
  <r>
    <s v="BEUMER Group"/>
    <x v="15"/>
    <x v="9"/>
    <n v="0"/>
    <n v="4"/>
    <m/>
    <n v="4"/>
    <n v="4"/>
    <x v="0"/>
    <n v="1"/>
    <n v="0"/>
    <n v="0"/>
  </r>
  <r>
    <s v="Caterpillar"/>
    <x v="15"/>
    <x v="1"/>
    <n v="6"/>
    <n v="4"/>
    <m/>
    <n v="11"/>
    <n v="4"/>
    <x v="0"/>
    <n v="1"/>
    <n v="0"/>
    <n v="1"/>
  </r>
  <r>
    <s v="CNH Industrial America"/>
    <x v="15"/>
    <x v="0"/>
    <n v="6"/>
    <n v="4"/>
    <m/>
    <n v="12"/>
    <n v="4"/>
    <x v="0"/>
    <n v="1"/>
    <n v="0"/>
    <n v="1"/>
  </r>
  <r>
    <s v="Cummins"/>
    <x v="15"/>
    <x v="8"/>
    <n v="10"/>
    <n v="6"/>
    <m/>
    <n v="22"/>
    <n v="6"/>
    <x v="0"/>
    <n v="1"/>
    <n v="0"/>
    <n v="1"/>
  </r>
  <r>
    <s v="Hilti Corporation"/>
    <x v="15"/>
    <x v="8"/>
    <n v="2"/>
    <n v="4"/>
    <m/>
    <n v="14"/>
    <n v="4"/>
    <x v="0"/>
    <n v="1"/>
    <n v="0"/>
    <n v="1"/>
  </r>
  <r>
    <s v="nVent"/>
    <x v="15"/>
    <x v="0"/>
    <n v="0"/>
    <n v="6"/>
    <m/>
    <n v="6"/>
    <n v="6"/>
    <x v="0"/>
    <n v="1"/>
    <n v="0"/>
    <n v="0"/>
  </r>
  <r>
    <s v="Rockwell Automation"/>
    <x v="15"/>
    <x v="0"/>
    <n v="9"/>
    <n v="6"/>
    <m/>
    <n v="15"/>
    <n v="6"/>
    <x v="0"/>
    <n v="1"/>
    <n v="0"/>
    <n v="1"/>
  </r>
  <r>
    <s v="McMaster-Carr"/>
    <x v="59"/>
    <x v="5"/>
    <n v="4"/>
    <n v="4"/>
    <m/>
    <n v="20"/>
    <n v="4"/>
    <x v="0"/>
    <n v="1"/>
    <n v="0"/>
    <n v="1"/>
  </r>
  <r>
    <s v="Argus Media"/>
    <x v="60"/>
    <x v="4"/>
    <n v="12"/>
    <n v="1"/>
    <m/>
    <n v="20"/>
    <n v="1"/>
    <x v="0"/>
    <n v="1"/>
    <n v="0"/>
    <n v="1"/>
  </r>
  <r>
    <s v="LAC-Group"/>
    <x v="60"/>
    <x v="28"/>
    <n v="0"/>
    <n v="35"/>
    <m/>
    <n v="32.5"/>
    <n v="35"/>
    <x v="0"/>
    <n v="1"/>
    <n v="0"/>
    <n v="0"/>
  </r>
  <r>
    <s v="S&amp;P Global"/>
    <x v="61"/>
    <x v="11"/>
    <n v="0"/>
    <n v="23"/>
    <m/>
    <n v="18"/>
    <n v="23"/>
    <x v="0"/>
    <n v="1"/>
    <n v="0"/>
    <n v="0"/>
  </r>
  <r>
    <s v="DXC Technology"/>
    <x v="62"/>
    <x v="13"/>
    <n v="36"/>
    <n v="1"/>
    <m/>
    <n v="45"/>
    <n v="1"/>
    <x v="0"/>
    <n v="1"/>
    <n v="0"/>
    <n v="1"/>
  </r>
  <r>
    <s v="Forrester Research"/>
    <x v="62"/>
    <x v="12"/>
    <n v="6"/>
    <n v="2"/>
    <m/>
    <n v="21"/>
    <n v="2"/>
    <x v="0"/>
    <n v="1"/>
    <n v="0"/>
    <n v="1"/>
  </r>
  <r>
    <s v="General Dynamics Information Technology"/>
    <x v="62"/>
    <x v="22"/>
    <n v="19"/>
    <n v="1"/>
    <m/>
    <n v="21"/>
    <n v="1"/>
    <x v="0"/>
    <n v="1"/>
    <n v="0"/>
    <n v="1"/>
  </r>
  <r>
    <s v="AON"/>
    <x v="63"/>
    <x v="4"/>
    <n v="8"/>
    <n v="6"/>
    <m/>
    <n v="16"/>
    <n v="6"/>
    <x v="0"/>
    <n v="1"/>
    <n v="0"/>
    <n v="1"/>
  </r>
  <r>
    <s v="Aetna"/>
    <x v="16"/>
    <x v="8"/>
    <n v="12"/>
    <n v="4"/>
    <m/>
    <n v="24"/>
    <n v="4"/>
    <x v="0"/>
    <n v="1"/>
    <n v="0"/>
    <n v="1"/>
  </r>
  <r>
    <s v="Health Care Service Corporation"/>
    <x v="16"/>
    <x v="0"/>
    <n v="3"/>
    <m/>
    <n v="6"/>
    <n v="9"/>
    <n v="6"/>
    <x v="0"/>
    <n v="0"/>
    <n v="1"/>
    <n v="1"/>
  </r>
  <r>
    <s v="Highmark Inc."/>
    <x v="16"/>
    <x v="0"/>
    <n v="4"/>
    <m/>
    <n v="4"/>
    <n v="10"/>
    <n v="4"/>
    <x v="0"/>
    <n v="0"/>
    <n v="1"/>
    <n v="1"/>
  </r>
  <r>
    <s v="Humana"/>
    <x v="16"/>
    <x v="0"/>
    <n v="6"/>
    <n v="6"/>
    <m/>
    <n v="12"/>
    <n v="6"/>
    <x v="0"/>
    <n v="1"/>
    <n v="0"/>
    <n v="1"/>
  </r>
  <r>
    <s v="Kaiser Permanente"/>
    <x v="16"/>
    <x v="6"/>
    <n v="3"/>
    <n v="0"/>
    <m/>
    <n v="6"/>
    <n v="0"/>
    <x v="0"/>
    <n v="0"/>
    <n v="0"/>
    <n v="1"/>
  </r>
  <r>
    <s v="Combined Insurance"/>
    <x v="64"/>
    <x v="12"/>
    <n v="3"/>
    <m/>
    <n v="0"/>
    <n v="18"/>
    <n v="0"/>
    <x v="0"/>
    <n v="0"/>
    <n v="0"/>
    <n v="1"/>
  </r>
  <r>
    <s v="Root Insurance"/>
    <x v="65"/>
    <x v="8"/>
    <n v="0"/>
    <n v="12"/>
    <m/>
    <n v="12"/>
    <n v="12"/>
    <x v="0"/>
    <n v="1"/>
    <n v="0"/>
    <n v="0"/>
  </r>
  <r>
    <s v="State Farm"/>
    <x v="65"/>
    <x v="13"/>
    <n v="0"/>
    <n v="6"/>
    <m/>
    <n v="9"/>
    <n v="6"/>
    <x v="0"/>
    <n v="1"/>
    <n v="0"/>
    <n v="0"/>
  </r>
  <r>
    <s v="The Hanover Insurance Group"/>
    <x v="65"/>
    <x v="4"/>
    <n v="4"/>
    <n v="2"/>
    <m/>
    <n v="12"/>
    <n v="2"/>
    <x v="0"/>
    <n v="1"/>
    <n v="0"/>
    <n v="1"/>
  </r>
  <r>
    <s v="Holland &amp; Knight LLP"/>
    <x v="66"/>
    <x v="9"/>
    <n v="8"/>
    <n v="6"/>
    <m/>
    <n v="12"/>
    <n v="6"/>
    <x v="0"/>
    <n v="1"/>
    <n v="0"/>
    <n v="1"/>
  </r>
  <r>
    <s v="Orrick, Herrington &amp; Sutcliffe LLP"/>
    <x v="66"/>
    <x v="29"/>
    <n v="2"/>
    <n v="16"/>
    <m/>
    <n v="25"/>
    <n v="16"/>
    <x v="0"/>
    <n v="1"/>
    <n v="0"/>
    <n v="1"/>
  </r>
  <r>
    <s v="Expedia Group"/>
    <x v="67"/>
    <x v="11"/>
    <n v="4"/>
    <n v="12"/>
    <m/>
    <n v="22"/>
    <n v="12"/>
    <x v="0"/>
    <n v="1"/>
    <n v="0"/>
    <n v="1"/>
  </r>
  <r>
    <s v="WarnerMedia"/>
    <x v="68"/>
    <x v="13"/>
    <n v="2"/>
    <n v="6"/>
    <m/>
    <n v="11"/>
    <n v="6"/>
    <x v="0"/>
    <n v="1"/>
    <n v="0"/>
    <n v="1"/>
  </r>
  <r>
    <s v="Cargill"/>
    <x v="69"/>
    <x v="8"/>
    <n v="0"/>
    <n v="4"/>
    <m/>
    <n v="12"/>
    <n v="4"/>
    <x v="0"/>
    <n v="1"/>
    <n v="0"/>
    <n v="0"/>
  </r>
  <r>
    <s v="Air Liquide"/>
    <x v="70"/>
    <x v="2"/>
    <m/>
    <n v="6"/>
    <n v="0"/>
    <n v="14"/>
    <n v="6"/>
    <x v="0"/>
    <n v="1"/>
    <n v="0"/>
    <n v="0"/>
  </r>
  <r>
    <s v="Dow"/>
    <x v="70"/>
    <x v="8"/>
    <n v="0"/>
    <m/>
    <n v="16"/>
    <n v="12"/>
    <n v="16"/>
    <x v="0"/>
    <n v="0"/>
    <n v="1"/>
    <n v="0"/>
  </r>
  <r>
    <s v="Ineos"/>
    <x v="70"/>
    <x v="30"/>
    <n v="9"/>
    <n v="0"/>
    <m/>
    <n v="15.5"/>
    <n v="0"/>
    <x v="0"/>
    <n v="0"/>
    <n v="0"/>
    <n v="1"/>
  </r>
  <r>
    <s v="Ingevity Corporation"/>
    <x v="70"/>
    <x v="24"/>
    <n v="1"/>
    <n v="4"/>
    <m/>
    <n v="11"/>
    <n v="4"/>
    <x v="0"/>
    <n v="1"/>
    <n v="0"/>
    <n v="1"/>
  </r>
  <r>
    <s v="PolyOne Corporation"/>
    <x v="70"/>
    <x v="0"/>
    <n v="12"/>
    <n v="6"/>
    <m/>
    <n v="18"/>
    <n v="6"/>
    <x v="0"/>
    <n v="1"/>
    <n v="0"/>
    <n v="1"/>
  </r>
  <r>
    <s v="Consumers Energy"/>
    <x v="71"/>
    <x v="0"/>
    <n v="0"/>
    <n v="16"/>
    <m/>
    <n v="6"/>
    <n v="16"/>
    <x v="0"/>
    <n v="1"/>
    <n v="0"/>
    <n v="0"/>
  </r>
  <r>
    <s v="NextEra Energy"/>
    <x v="72"/>
    <x v="6"/>
    <n v="9"/>
    <n v="0"/>
    <m/>
    <n v="12"/>
    <n v="0"/>
    <x v="0"/>
    <n v="0"/>
    <n v="0"/>
    <n v="1"/>
  </r>
  <r>
    <s v="Chevron"/>
    <x v="73"/>
    <x v="8"/>
    <n v="26"/>
    <n v="8"/>
    <m/>
    <n v="38"/>
    <n v="8"/>
    <x v="0"/>
    <n v="1"/>
    <n v="0"/>
    <n v="1"/>
  </r>
  <r>
    <s v="Phillips 66"/>
    <x v="73"/>
    <x v="13"/>
    <n v="12"/>
    <n v="2"/>
    <m/>
    <n v="21"/>
    <n v="2"/>
    <x v="0"/>
    <n v="1"/>
    <n v="0"/>
    <n v="1"/>
  </r>
  <r>
    <s v="Range Resources"/>
    <x v="73"/>
    <x v="13"/>
    <n v="6"/>
    <n v="2"/>
    <m/>
    <n v="15"/>
    <n v="2"/>
    <x v="0"/>
    <n v="1"/>
    <n v="0"/>
    <n v="1"/>
  </r>
  <r>
    <s v="American Water"/>
    <x v="74"/>
    <x v="22"/>
    <n v="0"/>
    <m/>
    <n v="12"/>
    <n v="2"/>
    <n v="12"/>
    <x v="0"/>
    <n v="0"/>
    <n v="1"/>
    <n v="0"/>
  </r>
  <r>
    <s v="Make-A-Wish Foundation"/>
    <x v="75"/>
    <x v="0"/>
    <n v="12"/>
    <n v="0"/>
    <m/>
    <n v="18"/>
    <n v="0"/>
    <x v="0"/>
    <n v="0"/>
    <n v="0"/>
    <n v="1"/>
  </r>
  <r>
    <s v="Wikimedia Foundation"/>
    <x v="76"/>
    <x v="8"/>
    <n v="5"/>
    <n v="7"/>
    <m/>
    <n v="17"/>
    <n v="7"/>
    <x v="0"/>
    <n v="1"/>
    <n v="0"/>
    <n v="1"/>
  </r>
  <r>
    <s v="Girl Scouts of the USA"/>
    <x v="77"/>
    <x v="0"/>
    <n v="0"/>
    <n v="6"/>
    <m/>
    <n v="6"/>
    <n v="6"/>
    <x v="0"/>
    <n v="1"/>
    <n v="0"/>
    <n v="0"/>
  </r>
  <r>
    <s v="RAND Corporation"/>
    <x v="78"/>
    <x v="31"/>
    <n v="0"/>
    <n v="3"/>
    <m/>
    <n v="5.5"/>
    <n v="3"/>
    <x v="0"/>
    <n v="1"/>
    <n v="0"/>
    <n v="0"/>
  </r>
  <r>
    <s v="The MITRE Corporation"/>
    <x v="79"/>
    <x v="32"/>
    <n v="0"/>
    <n v="2"/>
    <m/>
    <n v="7"/>
    <n v="2"/>
    <x v="0"/>
    <n v="1"/>
    <n v="0"/>
    <n v="0"/>
  </r>
  <r>
    <s v="Abbott Nutrition"/>
    <x v="20"/>
    <x v="4"/>
    <n v="16"/>
    <n v="2"/>
    <m/>
    <n v="24"/>
    <n v="2"/>
    <x v="0"/>
    <n v="1"/>
    <n v="0"/>
    <n v="1"/>
  </r>
  <r>
    <s v="GlaxoSmithKline"/>
    <x v="20"/>
    <x v="2"/>
    <n v="0"/>
    <n v="8"/>
    <m/>
    <n v="14"/>
    <n v="8"/>
    <x v="0"/>
    <n v="1"/>
    <n v="0"/>
    <n v="0"/>
  </r>
  <r>
    <s v="McKesson"/>
    <x v="20"/>
    <x v="0"/>
    <n v="0"/>
    <n v="6"/>
    <m/>
    <n v="6"/>
    <n v="6"/>
    <x v="0"/>
    <n v="1"/>
    <n v="0"/>
    <n v="0"/>
  </r>
  <r>
    <s v="Vertex Pharmaceuticals"/>
    <x v="20"/>
    <x v="5"/>
    <n v="0"/>
    <n v="8"/>
    <m/>
    <n v="16"/>
    <n v="8"/>
    <x v="0"/>
    <n v="1"/>
    <n v="0"/>
    <n v="0"/>
  </r>
  <r>
    <s v="Bill and Melinda Gates Foundation"/>
    <x v="80"/>
    <x v="20"/>
    <n v="11"/>
    <n v="26"/>
    <m/>
    <n v="37"/>
    <n v="26"/>
    <x v="0"/>
    <n v="1"/>
    <n v="0"/>
    <n v="1"/>
  </r>
  <r>
    <s v="MOO"/>
    <x v="81"/>
    <x v="22"/>
    <n v="40"/>
    <n v="2"/>
    <m/>
    <n v="42"/>
    <n v="2"/>
    <x v="0"/>
    <n v="1"/>
    <n v="0"/>
    <n v="1"/>
  </r>
  <r>
    <s v="Elsevier"/>
    <x v="82"/>
    <x v="33"/>
    <n v="0.5"/>
    <n v="1"/>
    <m/>
    <n v="39.5"/>
    <n v="1"/>
    <x v="0"/>
    <n v="1"/>
    <n v="0"/>
    <n v="1"/>
  </r>
  <r>
    <s v="Wiley Publishing"/>
    <x v="82"/>
    <x v="0"/>
    <n v="6"/>
    <n v="4"/>
    <m/>
    <n v="12"/>
    <n v="4"/>
    <x v="0"/>
    <n v="1"/>
    <n v="0"/>
    <n v="1"/>
  </r>
  <r>
    <s v="Bidwells LLP"/>
    <x v="83"/>
    <x v="2"/>
    <n v="38"/>
    <n v="2"/>
    <m/>
    <n v="52"/>
    <n v="2"/>
    <x v="0"/>
    <n v="1"/>
    <n v="0"/>
    <n v="1"/>
  </r>
  <r>
    <s v="Realtor.com"/>
    <x v="83"/>
    <x v="23"/>
    <n v="0"/>
    <n v="4"/>
    <m/>
    <n v="20"/>
    <n v="4"/>
    <x v="0"/>
    <n v="1"/>
    <n v="0"/>
    <n v="0"/>
  </r>
  <r>
    <s v="Kohl's"/>
    <x v="84"/>
    <x v="0"/>
    <n v="9"/>
    <n v="4"/>
    <m/>
    <n v="15"/>
    <n v="4"/>
    <x v="0"/>
    <n v="1"/>
    <n v="0"/>
    <n v="1"/>
  </r>
  <r>
    <s v="Home Depot"/>
    <x v="85"/>
    <x v="0"/>
    <n v="6"/>
    <n v="6"/>
    <m/>
    <n v="12"/>
    <n v="6"/>
    <x v="0"/>
    <n v="1"/>
    <n v="0"/>
    <n v="1"/>
  </r>
  <r>
    <s v="Wayfair"/>
    <x v="85"/>
    <x v="8"/>
    <n v="2"/>
    <n v="4"/>
    <m/>
    <n v="14"/>
    <n v="4"/>
    <x v="0"/>
    <n v="1"/>
    <n v="0"/>
    <n v="1"/>
  </r>
  <r>
    <s v="Columbia Sportswear"/>
    <x v="24"/>
    <x v="9"/>
    <n v="8"/>
    <n v="6"/>
    <m/>
    <n v="12"/>
    <n v="6"/>
    <x v="0"/>
    <n v="1"/>
    <n v="0"/>
    <n v="1"/>
  </r>
  <r>
    <s v="Luxottica Group SpA"/>
    <x v="24"/>
    <x v="34"/>
    <n v="6"/>
    <n v="2"/>
    <m/>
    <n v="14.5"/>
    <n v="2"/>
    <x v="0"/>
    <n v="1"/>
    <n v="0"/>
    <n v="1"/>
  </r>
  <r>
    <s v="Target"/>
    <x v="24"/>
    <x v="0"/>
    <n v="6"/>
    <n v="4"/>
    <m/>
    <n v="12"/>
    <n v="4"/>
    <x v="0"/>
    <n v="1"/>
    <n v="0"/>
    <n v="1"/>
  </r>
  <r>
    <s v="Meijer"/>
    <x v="86"/>
    <x v="1"/>
    <n v="3"/>
    <n v="4"/>
    <m/>
    <n v="8"/>
    <n v="4"/>
    <x v="0"/>
    <n v="1"/>
    <n v="0"/>
    <n v="1"/>
  </r>
  <r>
    <s v="Publix Super Markets"/>
    <x v="86"/>
    <x v="22"/>
    <n v="6.5"/>
    <m/>
    <n v="0"/>
    <n v="8.5"/>
    <n v="0"/>
    <x v="0"/>
    <n v="0"/>
    <n v="0"/>
    <n v="1"/>
  </r>
  <r>
    <s v="Athenahealth"/>
    <x v="25"/>
    <x v="8"/>
    <n v="0"/>
    <n v="6"/>
    <m/>
    <n v="12"/>
    <n v="6"/>
    <x v="0"/>
    <n v="1"/>
    <n v="0"/>
    <n v="0"/>
  </r>
  <r>
    <s v="CDW Corporation"/>
    <x v="25"/>
    <x v="0"/>
    <n v="4"/>
    <n v="2"/>
    <m/>
    <n v="10"/>
    <n v="2"/>
    <x v="0"/>
    <n v="1"/>
    <n v="0"/>
    <n v="1"/>
  </r>
  <r>
    <s v="Cerner Corporation"/>
    <x v="25"/>
    <x v="8"/>
    <n v="0"/>
    <n v="4"/>
    <m/>
    <n v="12"/>
    <n v="4"/>
    <x v="0"/>
    <n v="1"/>
    <n v="0"/>
    <n v="0"/>
  </r>
  <r>
    <s v="Elastic"/>
    <x v="25"/>
    <x v="5"/>
    <n v="0"/>
    <n v="16"/>
    <m/>
    <n v="16"/>
    <n v="16"/>
    <x v="0"/>
    <n v="1"/>
    <n v="0"/>
    <n v="0"/>
  </r>
  <r>
    <s v="Equinix"/>
    <x v="25"/>
    <x v="4"/>
    <n v="4"/>
    <n v="8"/>
    <m/>
    <n v="12"/>
    <n v="8"/>
    <x v="0"/>
    <n v="1"/>
    <n v="0"/>
    <n v="1"/>
  </r>
  <r>
    <s v="Hewlett Packard Enterprise"/>
    <x v="25"/>
    <x v="20"/>
    <n v="6"/>
    <n v="26"/>
    <m/>
    <n v="32"/>
    <n v="26"/>
    <x v="0"/>
    <n v="1"/>
    <n v="0"/>
    <n v="1"/>
  </r>
  <r>
    <s v="Tata Consultancy Services"/>
    <x v="25"/>
    <x v="14"/>
    <m/>
    <n v="1"/>
    <n v="4"/>
    <n v="24"/>
    <n v="5"/>
    <x v="0"/>
    <n v="1"/>
    <n v="1"/>
    <n v="0"/>
  </r>
  <r>
    <s v="Amazon"/>
    <x v="26"/>
    <x v="8"/>
    <n v="0"/>
    <n v="6"/>
    <m/>
    <n v="12"/>
    <n v="6"/>
    <x v="0"/>
    <n v="1"/>
    <n v="0"/>
    <n v="0"/>
  </r>
  <r>
    <s v="Angie's List"/>
    <x v="26"/>
    <x v="15"/>
    <n v="6"/>
    <n v="6"/>
    <m/>
    <n v="17"/>
    <n v="6"/>
    <x v="0"/>
    <n v="1"/>
    <n v="0"/>
    <n v="1"/>
  </r>
  <r>
    <s v="Birchbox"/>
    <x v="26"/>
    <x v="2"/>
    <n v="0"/>
    <n v="12"/>
    <m/>
    <n v="14"/>
    <n v="12"/>
    <x v="0"/>
    <n v="1"/>
    <n v="0"/>
    <n v="0"/>
  </r>
  <r>
    <s v="Box"/>
    <x v="26"/>
    <x v="11"/>
    <n v="1"/>
    <n v="12"/>
    <m/>
    <n v="19"/>
    <n v="12"/>
    <x v="0"/>
    <n v="1"/>
    <n v="0"/>
    <n v="1"/>
  </r>
  <r>
    <s v="eBay"/>
    <x v="26"/>
    <x v="8"/>
    <n v="0"/>
    <n v="12"/>
    <m/>
    <n v="12"/>
    <n v="12"/>
    <x v="0"/>
    <n v="1"/>
    <n v="0"/>
    <n v="0"/>
  </r>
  <r>
    <s v="Glassdoor"/>
    <x v="26"/>
    <x v="23"/>
    <n v="0"/>
    <n v="12"/>
    <m/>
    <n v="20"/>
    <n v="12"/>
    <x v="0"/>
    <n v="1"/>
    <n v="0"/>
    <n v="0"/>
  </r>
  <r>
    <s v="Google"/>
    <x v="26"/>
    <x v="14"/>
    <n v="0"/>
    <n v="18"/>
    <m/>
    <n v="24"/>
    <n v="18"/>
    <x v="0"/>
    <n v="1"/>
    <n v="0"/>
    <n v="0"/>
  </r>
  <r>
    <s v="Indeed"/>
    <x v="26"/>
    <x v="5"/>
    <n v="0"/>
    <n v="16"/>
    <m/>
    <n v="16"/>
    <n v="16"/>
    <x v="0"/>
    <n v="1"/>
    <n v="0"/>
    <n v="0"/>
  </r>
  <r>
    <s v="LinkedIn"/>
    <x v="26"/>
    <x v="23"/>
    <n v="4"/>
    <n v="12"/>
    <m/>
    <n v="24"/>
    <n v="12"/>
    <x v="0"/>
    <n v="1"/>
    <n v="0"/>
    <n v="1"/>
  </r>
  <r>
    <s v="Tinder"/>
    <x v="26"/>
    <x v="11"/>
    <n v="0"/>
    <n v="18"/>
    <m/>
    <n v="18"/>
    <n v="18"/>
    <x v="0"/>
    <n v="1"/>
    <n v="0"/>
    <n v="0"/>
  </r>
  <r>
    <s v="Uber"/>
    <x v="26"/>
    <x v="11"/>
    <n v="0"/>
    <n v="18"/>
    <m/>
    <n v="18"/>
    <n v="18"/>
    <x v="0"/>
    <n v="1"/>
    <n v="0"/>
    <n v="0"/>
  </r>
  <r>
    <s v="FIS Global"/>
    <x v="87"/>
    <x v="0"/>
    <n v="0"/>
    <n v="6"/>
    <m/>
    <n v="6"/>
    <n v="6"/>
    <x v="0"/>
    <n v="1"/>
    <n v="0"/>
    <n v="0"/>
  </r>
  <r>
    <s v="Jack Henry"/>
    <x v="87"/>
    <x v="4"/>
    <n v="7"/>
    <n v="2"/>
    <m/>
    <n v="15"/>
    <n v="2"/>
    <x v="0"/>
    <n v="1"/>
    <n v="0"/>
    <n v="1"/>
  </r>
  <r>
    <s v="Personal Capital"/>
    <x v="87"/>
    <x v="22"/>
    <n v="0"/>
    <n v="6"/>
    <m/>
    <n v="2"/>
    <n v="6"/>
    <x v="0"/>
    <n v="1"/>
    <n v="0"/>
    <n v="0"/>
  </r>
  <r>
    <s v="Zwift"/>
    <x v="27"/>
    <x v="8"/>
    <n v="6"/>
    <n v="12"/>
    <m/>
    <n v="18"/>
    <n v="12"/>
    <x v="0"/>
    <n v="1"/>
    <n v="0"/>
    <n v="1"/>
  </r>
  <r>
    <s v="Zynga"/>
    <x v="27"/>
    <x v="20"/>
    <n v="0"/>
    <n v="18"/>
    <m/>
    <n v="26"/>
    <n v="18"/>
    <x v="0"/>
    <n v="1"/>
    <n v="0"/>
    <n v="0"/>
  </r>
  <r>
    <s v="Apple"/>
    <x v="88"/>
    <x v="2"/>
    <n v="6"/>
    <n v="4"/>
    <m/>
    <n v="20"/>
    <n v="4"/>
    <x v="0"/>
    <n v="1"/>
    <n v="0"/>
    <n v="1"/>
  </r>
  <r>
    <s v="Cisco"/>
    <x v="88"/>
    <x v="35"/>
    <n v="2"/>
    <n v="0"/>
    <m/>
    <n v="15"/>
    <n v="0"/>
    <x v="0"/>
    <n v="0"/>
    <n v="0"/>
    <n v="1"/>
  </r>
  <r>
    <s v="Dell Technologies"/>
    <x v="88"/>
    <x v="8"/>
    <n v="0"/>
    <n v="12"/>
    <m/>
    <n v="12"/>
    <n v="12"/>
    <x v="0"/>
    <n v="1"/>
    <n v="0"/>
    <n v="0"/>
  </r>
  <r>
    <s v="Garmin"/>
    <x v="88"/>
    <x v="22"/>
    <n v="12"/>
    <m/>
    <n v="0"/>
    <n v="14"/>
    <n v="0"/>
    <x v="0"/>
    <n v="0"/>
    <n v="0"/>
    <n v="1"/>
  </r>
  <r>
    <s v="IBM"/>
    <x v="88"/>
    <x v="8"/>
    <n v="0"/>
    <n v="12"/>
    <m/>
    <n v="12"/>
    <n v="12"/>
    <x v="0"/>
    <n v="1"/>
    <n v="0"/>
    <n v="0"/>
  </r>
  <r>
    <s v="Intel Corporation"/>
    <x v="88"/>
    <x v="4"/>
    <n v="12"/>
    <n v="7.5"/>
    <m/>
    <n v="20"/>
    <n v="7.5"/>
    <x v="0"/>
    <n v="1"/>
    <n v="0"/>
    <n v="1"/>
  </r>
  <r>
    <s v="Western Digital"/>
    <x v="88"/>
    <x v="4"/>
    <n v="0"/>
    <n v="12"/>
    <m/>
    <n v="8"/>
    <n v="12"/>
    <x v="0"/>
    <n v="1"/>
    <n v="0"/>
    <n v="0"/>
  </r>
  <r>
    <s v="VISA"/>
    <x v="89"/>
    <x v="35"/>
    <n v="8"/>
    <n v="10"/>
    <m/>
    <n v="21"/>
    <n v="10"/>
    <x v="0"/>
    <n v="1"/>
    <n v="0"/>
    <n v="1"/>
  </r>
  <r>
    <s v="Waters Corporation"/>
    <x v="28"/>
    <x v="4"/>
    <n v="4"/>
    <n v="1"/>
    <m/>
    <n v="12"/>
    <n v="1"/>
    <x v="0"/>
    <n v="1"/>
    <n v="0"/>
    <n v="1"/>
  </r>
  <r>
    <s v="Forcepoint"/>
    <x v="90"/>
    <x v="8"/>
    <n v="3"/>
    <n v="6"/>
    <m/>
    <n v="15"/>
    <n v="6"/>
    <x v="0"/>
    <n v="1"/>
    <n v="0"/>
    <n v="1"/>
  </r>
  <r>
    <s v="Tanium"/>
    <x v="90"/>
    <x v="5"/>
    <n v="0"/>
    <n v="8"/>
    <m/>
    <n v="16"/>
    <n v="8"/>
    <x v="0"/>
    <n v="1"/>
    <n v="0"/>
    <n v="0"/>
  </r>
  <r>
    <s v="Addepar"/>
    <x v="29"/>
    <x v="36"/>
    <n v="0"/>
    <n v="10"/>
    <m/>
    <n v="19"/>
    <n v="10"/>
    <x v="0"/>
    <n v="1"/>
    <n v="0"/>
    <n v="0"/>
  </r>
  <r>
    <s v="Adobe Systems"/>
    <x v="29"/>
    <x v="37"/>
    <n v="15"/>
    <n v="16"/>
    <m/>
    <n v="32"/>
    <n v="16"/>
    <x v="0"/>
    <n v="1"/>
    <n v="0"/>
    <n v="1"/>
  </r>
  <r>
    <s v="Appian"/>
    <x v="29"/>
    <x v="5"/>
    <n v="0"/>
    <n v="12"/>
    <m/>
    <n v="16"/>
    <n v="12"/>
    <x v="0"/>
    <n v="1"/>
    <n v="0"/>
    <n v="0"/>
  </r>
  <r>
    <s v="Calabrio, Inc."/>
    <x v="29"/>
    <x v="6"/>
    <n v="3"/>
    <n v="0"/>
    <m/>
    <n v="6"/>
    <n v="0"/>
    <x v="0"/>
    <n v="0"/>
    <n v="0"/>
    <n v="1"/>
  </r>
  <r>
    <s v="Epic Systems"/>
    <x v="29"/>
    <x v="22"/>
    <n v="11"/>
    <n v="2"/>
    <m/>
    <n v="13"/>
    <n v="2"/>
    <x v="0"/>
    <n v="1"/>
    <n v="0"/>
    <n v="1"/>
  </r>
  <r>
    <s v="FactSet"/>
    <x v="29"/>
    <x v="5"/>
    <n v="0"/>
    <n v="4"/>
    <m/>
    <n v="16"/>
    <n v="4"/>
    <x v="0"/>
    <n v="1"/>
    <n v="0"/>
    <n v="0"/>
  </r>
  <r>
    <s v="GitHub"/>
    <x v="29"/>
    <x v="23"/>
    <n v="4"/>
    <n v="20"/>
    <m/>
    <n v="24"/>
    <n v="20"/>
    <x v="0"/>
    <n v="1"/>
    <n v="0"/>
    <n v="1"/>
  </r>
  <r>
    <s v="Klaviyo"/>
    <x v="29"/>
    <x v="5"/>
    <n v="0"/>
    <n v="16"/>
    <m/>
    <n v="16"/>
    <n v="16"/>
    <x v="0"/>
    <n v="1"/>
    <n v="0"/>
    <n v="0"/>
  </r>
  <r>
    <s v="Mindbody"/>
    <x v="29"/>
    <x v="8"/>
    <n v="2"/>
    <m/>
    <n v="18"/>
    <n v="14"/>
    <n v="18"/>
    <x v="0"/>
    <n v="0"/>
    <n v="1"/>
    <n v="1"/>
  </r>
  <r>
    <s v="NexJ Systems Inc."/>
    <x v="29"/>
    <x v="35"/>
    <n v="52"/>
    <n v="13"/>
    <m/>
    <n v="65"/>
    <n v="13"/>
    <x v="0"/>
    <n v="1"/>
    <n v="0"/>
    <n v="1"/>
  </r>
  <r>
    <s v="Pegasystems Inc."/>
    <x v="29"/>
    <x v="8"/>
    <n v="6"/>
    <n v="4"/>
    <m/>
    <n v="18"/>
    <n v="4"/>
    <x v="0"/>
    <n v="1"/>
    <n v="0"/>
    <n v="1"/>
  </r>
  <r>
    <s v="Qualitest Group"/>
    <x v="29"/>
    <x v="20"/>
    <n v="0"/>
    <n v="0"/>
    <m/>
    <n v="26"/>
    <n v="0"/>
    <x v="0"/>
    <n v="0"/>
    <n v="0"/>
    <n v="0"/>
  </r>
  <r>
    <s v="Salesforce"/>
    <x v="29"/>
    <x v="20"/>
    <n v="0"/>
    <n v="26"/>
    <m/>
    <n v="26"/>
    <n v="26"/>
    <x v="0"/>
    <n v="1"/>
    <n v="0"/>
    <n v="0"/>
  </r>
  <r>
    <s v="ServiceNow"/>
    <x v="29"/>
    <x v="23"/>
    <n v="0"/>
    <n v="12"/>
    <m/>
    <n v="20"/>
    <n v="12"/>
    <x v="0"/>
    <n v="1"/>
    <n v="0"/>
    <n v="0"/>
  </r>
  <r>
    <s v="Slack Technologies"/>
    <x v="29"/>
    <x v="23"/>
    <n v="0"/>
    <n v="12"/>
    <m/>
    <n v="20"/>
    <n v="12"/>
    <x v="0"/>
    <n v="1"/>
    <n v="0"/>
    <n v="0"/>
  </r>
  <r>
    <s v="UKG"/>
    <x v="29"/>
    <x v="8"/>
    <n v="0"/>
    <n v="4"/>
    <m/>
    <n v="12"/>
    <n v="4"/>
    <x v="0"/>
    <n v="1"/>
    <n v="0"/>
    <n v="0"/>
  </r>
  <r>
    <s v="Workiva"/>
    <x v="29"/>
    <x v="8"/>
    <n v="8"/>
    <n v="12"/>
    <m/>
    <n v="20"/>
    <n v="12"/>
    <x v="0"/>
    <n v="1"/>
    <n v="0"/>
    <n v="1"/>
  </r>
  <r>
    <s v="Zendesk, Inc"/>
    <x v="29"/>
    <x v="15"/>
    <n v="2"/>
    <n v="10.5"/>
    <m/>
    <n v="13"/>
    <n v="10.5"/>
    <x v="0"/>
    <n v="1"/>
    <n v="0"/>
    <n v="1"/>
  </r>
  <r>
    <s v="DISH"/>
    <x v="30"/>
    <x v="7"/>
    <n v="12"/>
    <n v="0"/>
    <m/>
    <n v="12"/>
    <n v="0"/>
    <x v="1"/>
    <n v="0"/>
    <n v="0"/>
    <n v="1"/>
  </r>
  <r>
    <s v="Lumen"/>
    <x v="30"/>
    <x v="8"/>
    <n v="1"/>
    <n v="6"/>
    <m/>
    <n v="13"/>
    <n v="6"/>
    <x v="0"/>
    <n v="1"/>
    <n v="0"/>
    <n v="1"/>
  </r>
  <r>
    <s v="Spectrum"/>
    <x v="30"/>
    <x v="0"/>
    <n v="6"/>
    <n v="2"/>
    <m/>
    <n v="12"/>
    <n v="2"/>
    <x v="0"/>
    <n v="1"/>
    <n v="0"/>
    <n v="1"/>
  </r>
  <r>
    <s v="Verizon"/>
    <x v="30"/>
    <x v="4"/>
    <n v="4"/>
    <n v="8"/>
    <m/>
    <n v="12"/>
    <n v="8"/>
    <x v="0"/>
    <n v="1"/>
    <n v="0"/>
    <n v="1"/>
  </r>
  <r>
    <s v="Viasat"/>
    <x v="30"/>
    <x v="5"/>
    <n v="0"/>
    <n v="9"/>
    <m/>
    <n v="16"/>
    <n v="9"/>
    <x v="0"/>
    <n v="1"/>
    <n v="0"/>
    <n v="0"/>
  </r>
  <r>
    <s v="Zoom"/>
    <x v="30"/>
    <x v="15"/>
    <n v="6"/>
    <n v="16"/>
    <m/>
    <n v="17"/>
    <n v="16"/>
    <x v="0"/>
    <n v="1"/>
    <n v="0"/>
    <n v="1"/>
  </r>
  <r>
    <s v="FedEx"/>
    <x v="91"/>
    <x v="22"/>
    <n v="28"/>
    <n v="2"/>
    <m/>
    <n v="30"/>
    <n v="2"/>
    <x v="0"/>
    <n v="1"/>
    <n v="0"/>
    <n v="1"/>
  </r>
  <r>
    <s v="Instacart"/>
    <x v="91"/>
    <x v="5"/>
    <n v="4"/>
    <n v="12"/>
    <m/>
    <n v="20"/>
    <n v="12"/>
    <x v="0"/>
    <n v="1"/>
    <n v="0"/>
    <n v="1"/>
  </r>
  <r>
    <s v="C.H. Robinson"/>
    <x v="92"/>
    <x v="22"/>
    <n v="6"/>
    <n v="2"/>
    <m/>
    <n v="8"/>
    <n v="2"/>
    <x v="0"/>
    <n v="1"/>
    <n v="0"/>
    <n v="1"/>
  </r>
  <r>
    <s v="Virgin Hyperloop One"/>
    <x v="93"/>
    <x v="5"/>
    <n v="2"/>
    <n v="16"/>
    <m/>
    <n v="18"/>
    <n v="16"/>
    <x v="0"/>
    <n v="1"/>
    <n v="0"/>
    <n v="1"/>
  </r>
  <r>
    <s v="ClassPass"/>
    <x v="94"/>
    <x v="2"/>
    <n v="12"/>
    <n v="4"/>
    <m/>
    <n v="26"/>
    <n v="4"/>
    <x v="0"/>
    <n v="1"/>
    <n v="0"/>
    <n v="1"/>
  </r>
  <r>
    <s v="Sysco"/>
    <x v="95"/>
    <x v="0"/>
    <n v="6"/>
    <n v="0"/>
    <m/>
    <n v="12"/>
    <n v="0"/>
    <x v="0"/>
    <n v="0"/>
    <n v="0"/>
    <n v="1"/>
  </r>
  <r>
    <s v="US Foods"/>
    <x v="95"/>
    <x v="0"/>
    <n v="6"/>
    <n v="2"/>
    <m/>
    <n v="12"/>
    <n v="2"/>
    <x v="0"/>
    <n v="1"/>
    <n v="0"/>
    <n v="1"/>
  </r>
  <r>
    <s v="BerryDunn"/>
    <x v="31"/>
    <x v="0"/>
    <n v="6"/>
    <m/>
    <m/>
    <n v="12"/>
    <n v="0"/>
    <x v="0"/>
    <n v="0"/>
    <n v="0"/>
    <n v="1"/>
  </r>
  <r>
    <s v="Crowe"/>
    <x v="31"/>
    <x v="0"/>
    <n v="0"/>
    <m/>
    <m/>
    <n v="6"/>
    <n v="0"/>
    <x v="0"/>
    <n v="0"/>
    <n v="0"/>
    <n v="0"/>
  </r>
  <r>
    <s v="Eisneramper"/>
    <x v="31"/>
    <x v="4"/>
    <n v="12"/>
    <m/>
    <m/>
    <n v="20"/>
    <n v="0"/>
    <x v="0"/>
    <n v="0"/>
    <n v="0"/>
    <n v="1"/>
  </r>
  <r>
    <s v="Fathom"/>
    <x v="31"/>
    <x v="8"/>
    <n v="0"/>
    <m/>
    <m/>
    <n v="12"/>
    <n v="0"/>
    <x v="0"/>
    <n v="0"/>
    <n v="0"/>
    <n v="0"/>
  </r>
  <r>
    <s v="Kearney &amp; Company"/>
    <x v="31"/>
    <x v="9"/>
    <n v="0"/>
    <m/>
    <m/>
    <n v="4"/>
    <n v="0"/>
    <x v="0"/>
    <n v="0"/>
    <n v="0"/>
    <n v="0"/>
  </r>
  <r>
    <s v="Marcum LLP"/>
    <x v="31"/>
    <x v="4"/>
    <n v="8"/>
    <m/>
    <m/>
    <n v="16"/>
    <n v="0"/>
    <x v="0"/>
    <n v="0"/>
    <n v="0"/>
    <n v="1"/>
  </r>
  <r>
    <s v="Myers &amp; Stauffer LC"/>
    <x v="31"/>
    <x v="4"/>
    <n v="52"/>
    <m/>
    <m/>
    <n v="60"/>
    <n v="0"/>
    <x v="0"/>
    <n v="0"/>
    <n v="0"/>
    <n v="1"/>
  </r>
  <r>
    <s v="Ryan LLC"/>
    <x v="31"/>
    <x v="2"/>
    <n v="6"/>
    <m/>
    <m/>
    <n v="20"/>
    <n v="0"/>
    <x v="0"/>
    <n v="0"/>
    <n v="0"/>
    <n v="1"/>
  </r>
  <r>
    <s v="Acceleration Partners"/>
    <x v="0"/>
    <x v="0"/>
    <n v="6"/>
    <m/>
    <m/>
    <n v="12"/>
    <n v="0"/>
    <x v="0"/>
    <n v="0"/>
    <n v="0"/>
    <n v="1"/>
  </r>
  <r>
    <s v="AdTheorent"/>
    <x v="0"/>
    <x v="0"/>
    <n v="0"/>
    <m/>
    <m/>
    <n v="6"/>
    <n v="0"/>
    <x v="0"/>
    <n v="0"/>
    <n v="0"/>
    <n v="0"/>
  </r>
  <r>
    <s v="Affinion Group"/>
    <x v="0"/>
    <x v="9"/>
    <n v="4"/>
    <m/>
    <m/>
    <n v="8"/>
    <n v="0"/>
    <x v="0"/>
    <n v="0"/>
    <n v="0"/>
    <n v="1"/>
  </r>
  <r>
    <s v="Ampersand"/>
    <x v="0"/>
    <x v="8"/>
    <n v="0"/>
    <m/>
    <m/>
    <n v="12"/>
    <n v="0"/>
    <x v="0"/>
    <n v="0"/>
    <n v="0"/>
    <n v="0"/>
  </r>
  <r>
    <s v="Ansira"/>
    <x v="0"/>
    <x v="8"/>
    <n v="0"/>
    <m/>
    <m/>
    <n v="12"/>
    <n v="0"/>
    <x v="0"/>
    <n v="0"/>
    <n v="0"/>
    <n v="0"/>
  </r>
  <r>
    <s v="BBDO"/>
    <x v="0"/>
    <x v="6"/>
    <n v="12"/>
    <m/>
    <m/>
    <n v="15"/>
    <n v="0"/>
    <x v="0"/>
    <n v="0"/>
    <n v="0"/>
    <n v="1"/>
  </r>
  <r>
    <s v="Cares Pro LLC"/>
    <x v="0"/>
    <x v="24"/>
    <n v="10"/>
    <m/>
    <m/>
    <n v="20"/>
    <n v="0"/>
    <x v="0"/>
    <n v="0"/>
    <n v="0"/>
    <n v="1"/>
  </r>
  <r>
    <s v="Code And Theory"/>
    <x v="0"/>
    <x v="9"/>
    <n v="0"/>
    <m/>
    <m/>
    <n v="4"/>
    <n v="0"/>
    <x v="0"/>
    <n v="0"/>
    <n v="0"/>
    <n v="0"/>
  </r>
  <r>
    <s v="Constant Contact"/>
    <x v="0"/>
    <x v="8"/>
    <n v="0"/>
    <m/>
    <m/>
    <n v="12"/>
    <n v="0"/>
    <x v="0"/>
    <n v="0"/>
    <n v="0"/>
    <n v="0"/>
  </r>
  <r>
    <s v="Conversant Media"/>
    <x v="0"/>
    <x v="8"/>
    <n v="4"/>
    <m/>
    <m/>
    <n v="16"/>
    <n v="0"/>
    <x v="0"/>
    <n v="0"/>
    <n v="0"/>
    <n v="1"/>
  </r>
  <r>
    <s v="Create NYC"/>
    <x v="0"/>
    <x v="4"/>
    <n v="0"/>
    <m/>
    <m/>
    <n v="8"/>
    <n v="0"/>
    <x v="0"/>
    <n v="0"/>
    <n v="0"/>
    <n v="0"/>
  </r>
  <r>
    <s v="DIGO"/>
    <x v="0"/>
    <x v="0"/>
    <n v="9"/>
    <m/>
    <m/>
    <n v="15"/>
    <n v="0"/>
    <x v="0"/>
    <n v="0"/>
    <n v="0"/>
    <n v="1"/>
  </r>
  <r>
    <s v="Essence Digital"/>
    <x v="0"/>
    <x v="38"/>
    <n v="0"/>
    <m/>
    <m/>
    <n v="1"/>
    <n v="0"/>
    <x v="0"/>
    <n v="0"/>
    <n v="0"/>
    <n v="0"/>
  </r>
  <r>
    <s v="Goodway Group"/>
    <x v="0"/>
    <x v="8"/>
    <n v="0"/>
    <m/>
    <m/>
    <n v="12"/>
    <n v="0"/>
    <x v="0"/>
    <n v="0"/>
    <n v="0"/>
    <n v="0"/>
  </r>
  <r>
    <s v="Hawkeye Agency"/>
    <x v="0"/>
    <x v="15"/>
    <n v="1"/>
    <m/>
    <m/>
    <n v="12"/>
    <n v="0"/>
    <x v="0"/>
    <n v="0"/>
    <n v="0"/>
    <n v="1"/>
  </r>
  <r>
    <s v="Hill Holliday"/>
    <x v="0"/>
    <x v="8"/>
    <n v="0"/>
    <m/>
    <m/>
    <n v="12"/>
    <n v="0"/>
    <x v="0"/>
    <n v="0"/>
    <n v="0"/>
    <n v="0"/>
  </r>
  <r>
    <s v="Hirshorn Zuckerman Design Group"/>
    <x v="0"/>
    <x v="22"/>
    <n v="12"/>
    <m/>
    <m/>
    <n v="14"/>
    <n v="0"/>
    <x v="0"/>
    <n v="0"/>
    <n v="0"/>
    <n v="1"/>
  </r>
  <r>
    <s v="Hootsuite"/>
    <x v="0"/>
    <x v="39"/>
    <n v="36"/>
    <m/>
    <m/>
    <n v="72"/>
    <n v="0"/>
    <x v="0"/>
    <n v="0"/>
    <n v="0"/>
    <n v="1"/>
  </r>
  <r>
    <s v="Huge Inc"/>
    <x v="0"/>
    <x v="8"/>
    <n v="24"/>
    <m/>
    <m/>
    <n v="36"/>
    <n v="0"/>
    <x v="0"/>
    <n v="0"/>
    <n v="0"/>
    <n v="1"/>
  </r>
  <r>
    <s v="Launch Potato"/>
    <x v="0"/>
    <x v="4"/>
    <n v="8"/>
    <m/>
    <m/>
    <n v="16"/>
    <n v="0"/>
    <x v="0"/>
    <n v="0"/>
    <n v="0"/>
    <n v="1"/>
  </r>
  <r>
    <s v="Media Directions Advertising"/>
    <x v="0"/>
    <x v="38"/>
    <n v="1"/>
    <m/>
    <m/>
    <n v="2"/>
    <n v="0"/>
    <x v="0"/>
    <n v="0"/>
    <n v="0"/>
    <n v="1"/>
  </r>
  <r>
    <s v="MediaCom"/>
    <x v="0"/>
    <x v="8"/>
    <n v="0"/>
    <m/>
    <m/>
    <n v="12"/>
    <n v="0"/>
    <x v="0"/>
    <n v="0"/>
    <n v="0"/>
    <n v="0"/>
  </r>
  <r>
    <s v="Monigle"/>
    <x v="0"/>
    <x v="0"/>
    <n v="6"/>
    <m/>
    <m/>
    <n v="12"/>
    <n v="0"/>
    <x v="0"/>
    <n v="0"/>
    <n v="0"/>
    <n v="1"/>
  </r>
  <r>
    <s v="National Cinemedia"/>
    <x v="0"/>
    <x v="9"/>
    <n v="8"/>
    <m/>
    <m/>
    <n v="12"/>
    <n v="0"/>
    <x v="0"/>
    <n v="0"/>
    <n v="0"/>
    <n v="1"/>
  </r>
  <r>
    <s v="News America Marketing"/>
    <x v="0"/>
    <x v="8"/>
    <n v="12"/>
    <m/>
    <m/>
    <n v="24"/>
    <n v="0"/>
    <x v="0"/>
    <n v="0"/>
    <n v="0"/>
    <n v="1"/>
  </r>
  <r>
    <s v="Ogilvy"/>
    <x v="0"/>
    <x v="40"/>
    <n v="4"/>
    <m/>
    <m/>
    <n v="52"/>
    <n v="0"/>
    <x v="0"/>
    <n v="0"/>
    <n v="0"/>
    <n v="1"/>
  </r>
  <r>
    <s v="Omnicom Media Group"/>
    <x v="0"/>
    <x v="22"/>
    <n v="10"/>
    <m/>
    <m/>
    <n v="12"/>
    <n v="0"/>
    <x v="0"/>
    <n v="0"/>
    <n v="0"/>
    <n v="1"/>
  </r>
  <r>
    <s v="PGR Media"/>
    <x v="0"/>
    <x v="8"/>
    <n v="0"/>
    <m/>
    <m/>
    <n v="12"/>
    <n v="0"/>
    <x v="0"/>
    <n v="0"/>
    <n v="0"/>
    <n v="0"/>
  </r>
  <r>
    <s v="Pico"/>
    <x v="0"/>
    <x v="35"/>
    <n v="0"/>
    <m/>
    <m/>
    <n v="13"/>
    <n v="0"/>
    <x v="0"/>
    <n v="0"/>
    <n v="0"/>
    <n v="0"/>
  </r>
  <r>
    <s v="R/GA"/>
    <x v="0"/>
    <x v="8"/>
    <n v="0"/>
    <m/>
    <m/>
    <n v="12"/>
    <n v="0"/>
    <x v="0"/>
    <n v="0"/>
    <n v="0"/>
    <n v="0"/>
  </r>
  <r>
    <s v="Radancy"/>
    <x v="0"/>
    <x v="6"/>
    <n v="9"/>
    <m/>
    <m/>
    <n v="12"/>
    <n v="0"/>
    <x v="0"/>
    <n v="0"/>
    <n v="0"/>
    <n v="1"/>
  </r>
  <r>
    <s v="Radius Intelligence"/>
    <x v="0"/>
    <x v="8"/>
    <n v="0"/>
    <m/>
    <m/>
    <n v="12"/>
    <n v="0"/>
    <x v="0"/>
    <n v="0"/>
    <n v="0"/>
    <n v="0"/>
  </r>
  <r>
    <s v="ReachLocal"/>
    <x v="0"/>
    <x v="0"/>
    <n v="0"/>
    <m/>
    <m/>
    <n v="6"/>
    <n v="0"/>
    <x v="0"/>
    <n v="0"/>
    <n v="0"/>
    <n v="0"/>
  </r>
  <r>
    <s v="Saatchi &amp; Saatchi"/>
    <x v="0"/>
    <x v="41"/>
    <n v="14"/>
    <m/>
    <m/>
    <n v="18.5"/>
    <n v="0"/>
    <x v="0"/>
    <n v="0"/>
    <n v="0"/>
    <n v="1"/>
  </r>
  <r>
    <s v="SapientRazorfish"/>
    <x v="0"/>
    <x v="0"/>
    <n v="4"/>
    <m/>
    <m/>
    <n v="10"/>
    <n v="0"/>
    <x v="0"/>
    <n v="0"/>
    <n v="0"/>
    <n v="1"/>
  </r>
  <r>
    <s v="SmartBug Media"/>
    <x v="0"/>
    <x v="9"/>
    <n v="2"/>
    <m/>
    <m/>
    <n v="6"/>
    <n v="0"/>
    <x v="0"/>
    <n v="0"/>
    <n v="0"/>
    <n v="1"/>
  </r>
  <r>
    <s v="Spectrum Science"/>
    <x v="0"/>
    <x v="35"/>
    <n v="13"/>
    <m/>
    <m/>
    <n v="26"/>
    <n v="0"/>
    <x v="0"/>
    <n v="0"/>
    <n v="0"/>
    <n v="1"/>
  </r>
  <r>
    <s v="Stage Marketing"/>
    <x v="0"/>
    <x v="9"/>
    <n v="8"/>
    <m/>
    <m/>
    <n v="12"/>
    <n v="0"/>
    <x v="0"/>
    <n v="0"/>
    <n v="0"/>
    <n v="1"/>
  </r>
  <r>
    <s v="Tag Worldwide"/>
    <x v="0"/>
    <x v="0"/>
    <n v="6"/>
    <m/>
    <m/>
    <n v="12"/>
    <n v="0"/>
    <x v="0"/>
    <n v="0"/>
    <n v="0"/>
    <n v="1"/>
  </r>
  <r>
    <s v="The Richards Group"/>
    <x v="0"/>
    <x v="8"/>
    <n v="0"/>
    <m/>
    <m/>
    <n v="12"/>
    <n v="0"/>
    <x v="0"/>
    <n v="0"/>
    <n v="0"/>
    <n v="0"/>
  </r>
  <r>
    <s v="UNiDAYS"/>
    <x v="0"/>
    <x v="23"/>
    <n v="0"/>
    <m/>
    <m/>
    <n v="20"/>
    <n v="0"/>
    <x v="0"/>
    <n v="0"/>
    <n v="0"/>
    <n v="0"/>
  </r>
  <r>
    <s v="VaynerMedia"/>
    <x v="0"/>
    <x v="32"/>
    <n v="12"/>
    <m/>
    <m/>
    <n v="19"/>
    <n v="0"/>
    <x v="0"/>
    <n v="0"/>
    <n v="0"/>
    <n v="1"/>
  </r>
  <r>
    <s v="Wavemaker"/>
    <x v="0"/>
    <x v="13"/>
    <n v="2"/>
    <m/>
    <m/>
    <n v="11"/>
    <n v="0"/>
    <x v="0"/>
    <n v="0"/>
    <n v="0"/>
    <n v="1"/>
  </r>
  <r>
    <s v="Wunderman DC"/>
    <x v="0"/>
    <x v="14"/>
    <n v="0"/>
    <m/>
    <m/>
    <n v="24"/>
    <n v="0"/>
    <x v="0"/>
    <n v="0"/>
    <n v="0"/>
    <n v="0"/>
  </r>
  <r>
    <s v="Zenith Media"/>
    <x v="0"/>
    <x v="6"/>
    <n v="9"/>
    <m/>
    <m/>
    <n v="12"/>
    <n v="0"/>
    <x v="0"/>
    <n v="0"/>
    <n v="0"/>
    <n v="1"/>
  </r>
  <r>
    <s v="AMG Research"/>
    <x v="96"/>
    <x v="9"/>
    <n v="12"/>
    <m/>
    <m/>
    <n v="16"/>
    <n v="0"/>
    <x v="0"/>
    <n v="0"/>
    <n v="0"/>
    <n v="1"/>
  </r>
  <r>
    <s v="eMarketer"/>
    <x v="96"/>
    <x v="8"/>
    <n v="0"/>
    <m/>
    <m/>
    <n v="12"/>
    <n v="0"/>
    <x v="0"/>
    <n v="0"/>
    <n v="0"/>
    <n v="0"/>
  </r>
  <r>
    <s v="Hanover Research"/>
    <x v="96"/>
    <x v="8"/>
    <n v="6"/>
    <m/>
    <m/>
    <n v="18"/>
    <n v="0"/>
    <x v="0"/>
    <n v="0"/>
    <n v="0"/>
    <n v="1"/>
  </r>
  <r>
    <s v="Acubed"/>
    <x v="32"/>
    <x v="8"/>
    <n v="1"/>
    <m/>
    <m/>
    <n v="13"/>
    <n v="0"/>
    <x v="0"/>
    <n v="0"/>
    <n v="0"/>
    <n v="1"/>
  </r>
  <r>
    <s v="Honeywell Aerospace"/>
    <x v="32"/>
    <x v="5"/>
    <n v="0"/>
    <m/>
    <m/>
    <n v="16"/>
    <n v="0"/>
    <x v="0"/>
    <n v="0"/>
    <n v="0"/>
    <n v="0"/>
  </r>
  <r>
    <s v="Pratt &amp; Whitney"/>
    <x v="32"/>
    <x v="8"/>
    <n v="12"/>
    <m/>
    <m/>
    <n v="24"/>
    <n v="0"/>
    <x v="0"/>
    <n v="0"/>
    <n v="0"/>
    <n v="1"/>
  </r>
  <r>
    <s v="SpaceX"/>
    <x v="32"/>
    <x v="4"/>
    <n v="10"/>
    <m/>
    <m/>
    <n v="18"/>
    <n v="0"/>
    <x v="0"/>
    <n v="0"/>
    <n v="0"/>
    <n v="1"/>
  </r>
  <r>
    <s v="Boston Ballet"/>
    <x v="1"/>
    <x v="8"/>
    <n v="12"/>
    <m/>
    <m/>
    <n v="24"/>
    <n v="0"/>
    <x v="0"/>
    <n v="0"/>
    <n v="0"/>
    <n v="1"/>
  </r>
  <r>
    <s v="Creative Artists Agency"/>
    <x v="1"/>
    <x v="8"/>
    <m/>
    <n v="12"/>
    <m/>
    <n v="12"/>
    <n v="12"/>
    <x v="0"/>
    <n v="1"/>
    <n v="0"/>
    <n v="0"/>
  </r>
  <r>
    <s v="Disney Streaming Services"/>
    <x v="1"/>
    <x v="8"/>
    <n v="10"/>
    <m/>
    <m/>
    <n v="22"/>
    <n v="0"/>
    <x v="0"/>
    <n v="0"/>
    <n v="0"/>
    <n v="1"/>
  </r>
  <r>
    <s v="GoDigital Media Group"/>
    <x v="1"/>
    <x v="7"/>
    <m/>
    <n v="0"/>
    <m/>
    <n v="0"/>
    <n v="0"/>
    <x v="1"/>
    <n v="0"/>
    <n v="0"/>
    <n v="0"/>
  </r>
  <r>
    <s v="LaneOne"/>
    <x v="1"/>
    <x v="0"/>
    <n v="0"/>
    <m/>
    <m/>
    <n v="6"/>
    <n v="0"/>
    <x v="0"/>
    <n v="0"/>
    <n v="0"/>
    <n v="0"/>
  </r>
  <r>
    <s v="Live Nation"/>
    <x v="1"/>
    <x v="14"/>
    <n v="12"/>
    <m/>
    <m/>
    <n v="36"/>
    <n v="0"/>
    <x v="0"/>
    <n v="0"/>
    <n v="0"/>
    <n v="1"/>
  </r>
  <r>
    <s v="Camping World"/>
    <x v="97"/>
    <x v="4"/>
    <n v="0"/>
    <m/>
    <m/>
    <n v="8"/>
    <n v="0"/>
    <x v="0"/>
    <n v="0"/>
    <n v="0"/>
    <n v="0"/>
  </r>
  <r>
    <s v="Young Automotive Group"/>
    <x v="97"/>
    <x v="6"/>
    <n v="12"/>
    <m/>
    <m/>
    <n v="15"/>
    <n v="0"/>
    <x v="0"/>
    <n v="0"/>
    <n v="0"/>
    <n v="1"/>
  </r>
  <r>
    <s v="Aptiv PLC"/>
    <x v="33"/>
    <x v="0"/>
    <n v="14"/>
    <m/>
    <m/>
    <n v="20"/>
    <n v="0"/>
    <x v="0"/>
    <n v="0"/>
    <n v="0"/>
    <n v="1"/>
  </r>
  <r>
    <s v="Mercedes-Benz Research &amp; Development North America"/>
    <x v="33"/>
    <x v="14"/>
    <n v="0"/>
    <m/>
    <m/>
    <n v="24"/>
    <n v="0"/>
    <x v="0"/>
    <n v="0"/>
    <n v="0"/>
    <n v="0"/>
  </r>
  <r>
    <s v="Advance Auto Parts"/>
    <x v="98"/>
    <x v="4"/>
    <n v="4"/>
    <m/>
    <m/>
    <n v="12"/>
    <n v="0"/>
    <x v="0"/>
    <n v="0"/>
    <n v="0"/>
    <n v="1"/>
  </r>
  <r>
    <s v="Bendix Commercial Vehicle Systems"/>
    <x v="34"/>
    <x v="0"/>
    <n v="0"/>
    <m/>
    <m/>
    <n v="6"/>
    <n v="0"/>
    <x v="0"/>
    <n v="0"/>
    <n v="0"/>
    <n v="0"/>
  </r>
  <r>
    <s v="Bridgestone Corporation"/>
    <x v="34"/>
    <x v="4"/>
    <n v="0"/>
    <m/>
    <m/>
    <n v="8"/>
    <n v="0"/>
    <x v="0"/>
    <n v="0"/>
    <n v="0"/>
    <n v="0"/>
  </r>
  <r>
    <s v="Continental"/>
    <x v="34"/>
    <x v="9"/>
    <n v="4"/>
    <m/>
    <m/>
    <n v="8"/>
    <n v="0"/>
    <x v="0"/>
    <n v="0"/>
    <n v="0"/>
    <n v="1"/>
  </r>
  <r>
    <s v="Donaldson Company, Inc."/>
    <x v="34"/>
    <x v="7"/>
    <n v="12"/>
    <m/>
    <m/>
    <n v="12"/>
    <n v="0"/>
    <x v="1"/>
    <n v="0"/>
    <n v="0"/>
    <n v="1"/>
  </r>
  <r>
    <s v="Michelin"/>
    <x v="34"/>
    <x v="8"/>
    <n v="0"/>
    <m/>
    <m/>
    <n v="12"/>
    <n v="0"/>
    <x v="0"/>
    <n v="0"/>
    <n v="0"/>
    <n v="0"/>
  </r>
  <r>
    <s v="Valvoline"/>
    <x v="99"/>
    <x v="9"/>
    <n v="0"/>
    <m/>
    <m/>
    <n v="4"/>
    <n v="0"/>
    <x v="0"/>
    <n v="0"/>
    <n v="0"/>
    <n v="0"/>
  </r>
  <r>
    <s v="Aramark"/>
    <x v="100"/>
    <x v="22"/>
    <n v="10"/>
    <m/>
    <m/>
    <n v="12"/>
    <n v="0"/>
    <x v="0"/>
    <n v="0"/>
    <n v="0"/>
    <n v="1"/>
  </r>
  <r>
    <s v="Cintas Corporation"/>
    <x v="100"/>
    <x v="8"/>
    <n v="12"/>
    <m/>
    <m/>
    <n v="24"/>
    <n v="0"/>
    <x v="0"/>
    <n v="0"/>
    <n v="0"/>
    <n v="1"/>
  </r>
  <r>
    <s v="ADP Canada Inc"/>
    <x v="35"/>
    <x v="20"/>
    <n v="4"/>
    <m/>
    <m/>
    <n v="30"/>
    <n v="0"/>
    <x v="0"/>
    <n v="0"/>
    <n v="0"/>
    <n v="1"/>
  </r>
  <r>
    <s v="ADP India"/>
    <x v="35"/>
    <x v="42"/>
    <n v="25"/>
    <m/>
    <m/>
    <n v="50"/>
    <n v="0"/>
    <x v="0"/>
    <n v="0"/>
    <n v="0"/>
    <n v="1"/>
  </r>
  <r>
    <s v="ADP Philippines"/>
    <x v="35"/>
    <x v="30"/>
    <n v="0"/>
    <m/>
    <m/>
    <n v="6.5"/>
    <n v="0"/>
    <x v="0"/>
    <n v="0"/>
    <n v="0"/>
    <n v="0"/>
  </r>
  <r>
    <s v="ADP UK"/>
    <x v="35"/>
    <x v="39"/>
    <n v="12"/>
    <m/>
    <m/>
    <n v="48"/>
    <n v="0"/>
    <x v="0"/>
    <n v="0"/>
    <n v="0"/>
    <n v="1"/>
  </r>
  <r>
    <s v="ACA Compliance Group"/>
    <x v="2"/>
    <x v="9"/>
    <n v="8"/>
    <m/>
    <m/>
    <n v="12"/>
    <n v="0"/>
    <x v="0"/>
    <n v="0"/>
    <n v="0"/>
    <n v="1"/>
  </r>
  <r>
    <s v="BDO USA, LLP"/>
    <x v="2"/>
    <x v="13"/>
    <n v="3"/>
    <m/>
    <m/>
    <n v="12"/>
    <n v="0"/>
    <x v="0"/>
    <n v="0"/>
    <n v="0"/>
    <n v="1"/>
  </r>
  <r>
    <s v="Brabo Payroll"/>
    <x v="2"/>
    <x v="35"/>
    <n v="13"/>
    <m/>
    <m/>
    <n v="26"/>
    <n v="0"/>
    <x v="0"/>
    <n v="0"/>
    <n v="0"/>
    <n v="1"/>
  </r>
  <r>
    <s v="Cardlytics"/>
    <x v="2"/>
    <x v="8"/>
    <n v="0"/>
    <m/>
    <m/>
    <n v="12"/>
    <n v="0"/>
    <x v="0"/>
    <n v="0"/>
    <n v="0"/>
    <n v="0"/>
  </r>
  <r>
    <s v="Cians Analytics"/>
    <x v="2"/>
    <x v="20"/>
    <n v="26"/>
    <m/>
    <m/>
    <n v="52"/>
    <n v="0"/>
    <x v="0"/>
    <n v="0"/>
    <n v="0"/>
    <n v="1"/>
  </r>
  <r>
    <s v="CoStar Group"/>
    <x v="2"/>
    <x v="0"/>
    <n v="6"/>
    <m/>
    <m/>
    <n v="12"/>
    <n v="0"/>
    <x v="0"/>
    <n v="0"/>
    <n v="0"/>
    <n v="1"/>
  </r>
  <r>
    <s v="Deluxe Corporation"/>
    <x v="2"/>
    <x v="4"/>
    <n v="0"/>
    <m/>
    <m/>
    <n v="8"/>
    <n v="0"/>
    <x v="0"/>
    <n v="0"/>
    <n v="0"/>
    <n v="0"/>
  </r>
  <r>
    <s v="EveryDay Labs"/>
    <x v="2"/>
    <x v="8"/>
    <n v="0"/>
    <m/>
    <m/>
    <n v="12"/>
    <n v="0"/>
    <x v="0"/>
    <n v="0"/>
    <n v="0"/>
    <n v="0"/>
  </r>
  <r>
    <s v="Flexport"/>
    <x v="2"/>
    <x v="5"/>
    <n v="0"/>
    <m/>
    <m/>
    <n v="16"/>
    <n v="0"/>
    <x v="0"/>
    <n v="0"/>
    <n v="0"/>
    <n v="0"/>
  </r>
  <r>
    <s v="LexisNexis Risk Solutions Group"/>
    <x v="2"/>
    <x v="0"/>
    <n v="6"/>
    <m/>
    <m/>
    <n v="12"/>
    <n v="0"/>
    <x v="0"/>
    <n v="0"/>
    <n v="0"/>
    <n v="1"/>
  </r>
  <r>
    <s v="LGC Standards"/>
    <x v="2"/>
    <x v="8"/>
    <n v="0"/>
    <m/>
    <m/>
    <n v="12"/>
    <n v="0"/>
    <x v="0"/>
    <n v="0"/>
    <n v="0"/>
    <n v="0"/>
  </r>
  <r>
    <s v="LOTH, Inc."/>
    <x v="2"/>
    <x v="24"/>
    <n v="0"/>
    <m/>
    <m/>
    <n v="10"/>
    <n v="0"/>
    <x v="0"/>
    <n v="0"/>
    <n v="0"/>
    <n v="0"/>
  </r>
  <r>
    <s v="MIC Global Services"/>
    <x v="2"/>
    <x v="0"/>
    <n v="12"/>
    <m/>
    <m/>
    <n v="18"/>
    <n v="0"/>
    <x v="0"/>
    <n v="0"/>
    <n v="0"/>
    <n v="1"/>
  </r>
  <r>
    <s v="Moody's Analytics"/>
    <x v="2"/>
    <x v="8"/>
    <n v="0"/>
    <m/>
    <m/>
    <n v="12"/>
    <n v="0"/>
    <x v="0"/>
    <n v="0"/>
    <n v="0"/>
    <n v="0"/>
  </r>
  <r>
    <s v="Nuclear Energy Institute"/>
    <x v="2"/>
    <x v="8"/>
    <n v="0"/>
    <m/>
    <m/>
    <n v="12"/>
    <n v="0"/>
    <x v="0"/>
    <n v="0"/>
    <n v="0"/>
    <n v="0"/>
  </r>
  <r>
    <s v="SmithBucklin"/>
    <x v="2"/>
    <x v="22"/>
    <n v="10"/>
    <m/>
    <m/>
    <n v="12"/>
    <n v="0"/>
    <x v="0"/>
    <n v="0"/>
    <n v="0"/>
    <n v="1"/>
  </r>
  <r>
    <s v="The Larkin Company"/>
    <x v="2"/>
    <x v="8"/>
    <n v="12"/>
    <m/>
    <m/>
    <n v="24"/>
    <n v="0"/>
    <x v="0"/>
    <n v="0"/>
    <n v="0"/>
    <n v="1"/>
  </r>
  <r>
    <s v="Ticketmaster"/>
    <x v="2"/>
    <x v="29"/>
    <n v="12"/>
    <m/>
    <m/>
    <n v="35"/>
    <n v="0"/>
    <x v="0"/>
    <n v="0"/>
    <n v="0"/>
    <n v="1"/>
  </r>
  <r>
    <s v="UL LLC"/>
    <x v="2"/>
    <x v="43"/>
    <n v="15.5"/>
    <m/>
    <m/>
    <n v="29"/>
    <n v="0"/>
    <x v="0"/>
    <n v="0"/>
    <n v="0"/>
    <n v="1"/>
  </r>
  <r>
    <s v="United States Chamber of Commerce"/>
    <x v="2"/>
    <x v="4"/>
    <n v="12"/>
    <m/>
    <m/>
    <n v="20"/>
    <n v="0"/>
    <x v="0"/>
    <n v="0"/>
    <n v="0"/>
    <n v="1"/>
  </r>
  <r>
    <s v="247 Private Security"/>
    <x v="101"/>
    <x v="7"/>
    <n v="0"/>
    <m/>
    <m/>
    <n v="0"/>
    <n v="0"/>
    <x v="1"/>
    <n v="0"/>
    <n v="0"/>
    <n v="0"/>
  </r>
  <r>
    <s v="Allied Universal"/>
    <x v="101"/>
    <x v="1"/>
    <n v="21"/>
    <m/>
    <m/>
    <n v="26"/>
    <n v="0"/>
    <x v="0"/>
    <n v="0"/>
    <n v="0"/>
    <n v="1"/>
  </r>
  <r>
    <s v="Vivint"/>
    <x v="101"/>
    <x v="0"/>
    <n v="6"/>
    <m/>
    <m/>
    <n v="12"/>
    <n v="0"/>
    <x v="0"/>
    <n v="0"/>
    <n v="0"/>
    <n v="1"/>
  </r>
  <r>
    <s v="24-7 Intouch"/>
    <x v="3"/>
    <x v="7"/>
    <m/>
    <n v="0"/>
    <m/>
    <n v="0"/>
    <n v="0"/>
    <x v="1"/>
    <n v="0"/>
    <n v="0"/>
    <n v="0"/>
  </r>
  <r>
    <s v="Aerotek, Inc."/>
    <x v="3"/>
    <x v="32"/>
    <n v="10"/>
    <m/>
    <m/>
    <n v="17"/>
    <n v="0"/>
    <x v="0"/>
    <n v="0"/>
    <n v="0"/>
    <n v="1"/>
  </r>
  <r>
    <s v="Beetroot"/>
    <x v="3"/>
    <x v="0"/>
    <n v="52"/>
    <m/>
    <m/>
    <n v="58"/>
    <n v="0"/>
    <x v="0"/>
    <n v="0"/>
    <n v="0"/>
    <n v="1"/>
  </r>
  <r>
    <s v="Caastle"/>
    <x v="3"/>
    <x v="8"/>
    <n v="4"/>
    <m/>
    <m/>
    <n v="16"/>
    <n v="0"/>
    <x v="0"/>
    <n v="0"/>
    <n v="0"/>
    <n v="1"/>
  </r>
  <r>
    <s v="Concurrent HRO"/>
    <x v="3"/>
    <x v="22"/>
    <n v="2"/>
    <m/>
    <m/>
    <n v="4"/>
    <n v="0"/>
    <x v="0"/>
    <n v="0"/>
    <n v="0"/>
    <n v="1"/>
  </r>
  <r>
    <s v="Cyberbacker PH"/>
    <x v="3"/>
    <x v="1"/>
    <n v="2"/>
    <m/>
    <m/>
    <n v="7"/>
    <n v="0"/>
    <x v="0"/>
    <n v="0"/>
    <n v="0"/>
    <n v="1"/>
  </r>
  <r>
    <s v="Daversa Partners"/>
    <x v="3"/>
    <x v="8"/>
    <n v="0"/>
    <m/>
    <m/>
    <n v="12"/>
    <n v="0"/>
    <x v="0"/>
    <n v="0"/>
    <n v="0"/>
    <n v="0"/>
  </r>
  <r>
    <s v="Hays"/>
    <x v="3"/>
    <x v="9"/>
    <n v="8"/>
    <m/>
    <m/>
    <n v="12"/>
    <n v="0"/>
    <x v="0"/>
    <n v="0"/>
    <n v="0"/>
    <n v="1"/>
  </r>
  <r>
    <s v="Kforce"/>
    <x v="3"/>
    <x v="38"/>
    <n v="0"/>
    <m/>
    <m/>
    <n v="1"/>
    <n v="0"/>
    <x v="0"/>
    <n v="0"/>
    <n v="0"/>
    <n v="0"/>
  </r>
  <r>
    <s v="Manpower"/>
    <x v="3"/>
    <x v="23"/>
    <n v="0"/>
    <m/>
    <m/>
    <n v="20"/>
    <n v="0"/>
    <x v="0"/>
    <n v="0"/>
    <n v="0"/>
    <n v="0"/>
  </r>
  <r>
    <s v="Marketsource"/>
    <x v="3"/>
    <x v="38"/>
    <n v="11"/>
    <m/>
    <m/>
    <n v="12"/>
    <n v="0"/>
    <x v="0"/>
    <n v="0"/>
    <n v="0"/>
    <n v="1"/>
  </r>
  <r>
    <s v="MarketStar"/>
    <x v="3"/>
    <x v="0"/>
    <n v="6"/>
    <m/>
    <m/>
    <n v="12"/>
    <n v="0"/>
    <x v="0"/>
    <n v="0"/>
    <n v="0"/>
    <n v="1"/>
  </r>
  <r>
    <s v="Maxim Healthcare Services"/>
    <x v="3"/>
    <x v="1"/>
    <n v="0"/>
    <m/>
    <m/>
    <n v="5"/>
    <n v="0"/>
    <x v="0"/>
    <n v="0"/>
    <n v="0"/>
    <n v="0"/>
  </r>
  <r>
    <s v="nFuzion"/>
    <x v="3"/>
    <x v="9"/>
    <n v="0"/>
    <m/>
    <m/>
    <n v="4"/>
    <n v="0"/>
    <x v="0"/>
    <n v="0"/>
    <n v="0"/>
    <n v="0"/>
  </r>
  <r>
    <s v="Norwin Technologies"/>
    <x v="3"/>
    <x v="22"/>
    <n v="0"/>
    <m/>
    <m/>
    <n v="2"/>
    <n v="0"/>
    <x v="0"/>
    <n v="0"/>
    <n v="0"/>
    <n v="0"/>
  </r>
  <r>
    <s v="Populus Group"/>
    <x v="3"/>
    <x v="8"/>
    <n v="12"/>
    <m/>
    <m/>
    <n v="24"/>
    <n v="0"/>
    <x v="0"/>
    <n v="0"/>
    <n v="0"/>
    <n v="1"/>
  </r>
  <r>
    <s v="Randstad Sourceright"/>
    <x v="3"/>
    <x v="33"/>
    <n v="13"/>
    <m/>
    <m/>
    <n v="52"/>
    <n v="0"/>
    <x v="0"/>
    <n v="0"/>
    <n v="0"/>
    <n v="1"/>
  </r>
  <r>
    <s v="Recruitics"/>
    <x v="3"/>
    <x v="13"/>
    <n v="4"/>
    <m/>
    <m/>
    <n v="13"/>
    <n v="0"/>
    <x v="0"/>
    <n v="0"/>
    <n v="0"/>
    <n v="1"/>
  </r>
  <r>
    <s v="Robert Half"/>
    <x v="3"/>
    <x v="0"/>
    <n v="4"/>
    <m/>
    <m/>
    <n v="10"/>
    <n v="0"/>
    <x v="0"/>
    <n v="0"/>
    <n v="0"/>
    <n v="1"/>
  </r>
  <r>
    <s v="Rochester Telemessaging Center"/>
    <x v="3"/>
    <x v="6"/>
    <n v="12"/>
    <m/>
    <m/>
    <n v="15"/>
    <n v="0"/>
    <x v="0"/>
    <n v="0"/>
    <n v="0"/>
    <n v="1"/>
  </r>
  <r>
    <s v="Search Solution Group"/>
    <x v="3"/>
    <x v="8"/>
    <n v="6"/>
    <m/>
    <m/>
    <n v="18"/>
    <n v="0"/>
    <x v="0"/>
    <n v="0"/>
    <n v="0"/>
    <n v="1"/>
  </r>
  <r>
    <s v="TaskUs"/>
    <x v="3"/>
    <x v="0"/>
    <n v="0"/>
    <m/>
    <m/>
    <n v="6"/>
    <n v="0"/>
    <x v="0"/>
    <n v="0"/>
    <n v="0"/>
    <n v="0"/>
  </r>
  <r>
    <s v="WilsonHCG"/>
    <x v="3"/>
    <x v="20"/>
    <n v="26"/>
    <m/>
    <m/>
    <n v="52"/>
    <n v="0"/>
    <x v="0"/>
    <n v="0"/>
    <n v="0"/>
    <n v="1"/>
  </r>
  <r>
    <s v="Alight Solutions"/>
    <x v="36"/>
    <x v="4"/>
    <n v="2"/>
    <m/>
    <m/>
    <n v="10"/>
    <n v="0"/>
    <x v="0"/>
    <n v="0"/>
    <n v="0"/>
    <n v="1"/>
  </r>
  <r>
    <s v="Allied Telecom Group"/>
    <x v="36"/>
    <x v="24"/>
    <n v="0"/>
    <m/>
    <m/>
    <n v="10"/>
    <n v="0"/>
    <x v="0"/>
    <n v="0"/>
    <n v="0"/>
    <n v="0"/>
  </r>
  <r>
    <s v="Bazaarvoice"/>
    <x v="36"/>
    <x v="8"/>
    <n v="0"/>
    <m/>
    <m/>
    <n v="12"/>
    <n v="0"/>
    <x v="0"/>
    <n v="0"/>
    <n v="0"/>
    <n v="0"/>
  </r>
  <r>
    <s v="Broadridge Financial Solutions Group"/>
    <x v="36"/>
    <x v="44"/>
    <n v="18"/>
    <m/>
    <m/>
    <n v="28.5"/>
    <n v="0"/>
    <x v="0"/>
    <n v="0"/>
    <n v="0"/>
    <n v="1"/>
  </r>
  <r>
    <s v="CareDox"/>
    <x v="36"/>
    <x v="8"/>
    <n v="1"/>
    <m/>
    <m/>
    <n v="13"/>
    <n v="0"/>
    <x v="0"/>
    <n v="0"/>
    <n v="0"/>
    <n v="1"/>
  </r>
  <r>
    <s v="Clever Devices"/>
    <x v="36"/>
    <x v="9"/>
    <n v="4"/>
    <m/>
    <m/>
    <n v="8"/>
    <n v="0"/>
    <x v="0"/>
    <n v="0"/>
    <n v="0"/>
    <n v="1"/>
  </r>
  <r>
    <s v="Galois"/>
    <x v="36"/>
    <x v="5"/>
    <n v="12"/>
    <m/>
    <m/>
    <n v="28"/>
    <n v="0"/>
    <x v="0"/>
    <n v="0"/>
    <n v="0"/>
    <n v="1"/>
  </r>
  <r>
    <s v="Paya"/>
    <x v="36"/>
    <x v="1"/>
    <n v="7"/>
    <m/>
    <m/>
    <n v="12"/>
    <n v="0"/>
    <x v="0"/>
    <n v="0"/>
    <n v="0"/>
    <n v="1"/>
  </r>
  <r>
    <s v="Pitney Bowes"/>
    <x v="36"/>
    <x v="4"/>
    <n v="0"/>
    <m/>
    <m/>
    <n v="8"/>
    <n v="0"/>
    <x v="0"/>
    <n v="0"/>
    <n v="0"/>
    <n v="0"/>
  </r>
  <r>
    <s v="Sprinklr"/>
    <x v="36"/>
    <x v="2"/>
    <n v="0"/>
    <m/>
    <m/>
    <n v="14"/>
    <n v="0"/>
    <x v="0"/>
    <n v="0"/>
    <n v="0"/>
    <n v="0"/>
  </r>
  <r>
    <s v="Taulia Inc."/>
    <x v="36"/>
    <x v="5"/>
    <n v="8"/>
    <m/>
    <m/>
    <n v="24"/>
    <n v="0"/>
    <x v="0"/>
    <n v="0"/>
    <n v="0"/>
    <n v="1"/>
  </r>
  <r>
    <s v="Thoughtworks"/>
    <x v="36"/>
    <x v="8"/>
    <n v="0"/>
    <m/>
    <m/>
    <n v="12"/>
    <n v="0"/>
    <x v="0"/>
    <n v="0"/>
    <n v="0"/>
    <n v="0"/>
  </r>
  <r>
    <s v="TodayTix"/>
    <x v="36"/>
    <x v="8"/>
    <n v="0"/>
    <m/>
    <m/>
    <n v="12"/>
    <n v="0"/>
    <x v="0"/>
    <n v="0"/>
    <n v="0"/>
    <n v="0"/>
  </r>
  <r>
    <s v="Sysdig"/>
    <x v="102"/>
    <x v="35"/>
    <n v="0"/>
    <m/>
    <m/>
    <n v="13"/>
    <n v="0"/>
    <x v="0"/>
    <n v="0"/>
    <n v="0"/>
    <n v="0"/>
  </r>
  <r>
    <s v="Miro"/>
    <x v="103"/>
    <x v="8"/>
    <m/>
    <n v="6"/>
    <m/>
    <n v="12"/>
    <n v="6"/>
    <x v="0"/>
    <n v="1"/>
    <n v="0"/>
    <n v="0"/>
  </r>
  <r>
    <s v="General Electric"/>
    <x v="37"/>
    <x v="8"/>
    <n v="0"/>
    <m/>
    <m/>
    <n v="12"/>
    <n v="0"/>
    <x v="0"/>
    <n v="0"/>
    <n v="0"/>
    <n v="0"/>
  </r>
  <r>
    <s v="Growmark"/>
    <x v="37"/>
    <x v="22"/>
    <n v="12"/>
    <m/>
    <m/>
    <n v="14"/>
    <n v="0"/>
    <x v="0"/>
    <n v="0"/>
    <n v="0"/>
    <n v="1"/>
  </r>
  <r>
    <s v="Koch Industries"/>
    <x v="37"/>
    <x v="0"/>
    <n v="6"/>
    <m/>
    <m/>
    <n v="12"/>
    <n v="0"/>
    <x v="0"/>
    <n v="0"/>
    <n v="0"/>
    <n v="1"/>
  </r>
  <r>
    <s v="Newell Brands"/>
    <x v="37"/>
    <x v="8"/>
    <n v="3"/>
    <m/>
    <m/>
    <n v="15"/>
    <n v="0"/>
    <x v="0"/>
    <n v="0"/>
    <n v="0"/>
    <n v="1"/>
  </r>
  <r>
    <s v="Reliance Industries, Ltd"/>
    <x v="37"/>
    <x v="45"/>
    <n v="24"/>
    <m/>
    <m/>
    <n v="76"/>
    <n v="0"/>
    <x v="0"/>
    <n v="0"/>
    <n v="0"/>
    <n v="1"/>
  </r>
  <r>
    <s v="Siemens Industry Automation and Drive Technologies"/>
    <x v="37"/>
    <x v="18"/>
    <n v="0"/>
    <m/>
    <m/>
    <n v="9.5"/>
    <n v="0"/>
    <x v="0"/>
    <n v="0"/>
    <n v="0"/>
    <n v="0"/>
  </r>
  <r>
    <s v="Textron Inc."/>
    <x v="37"/>
    <x v="22"/>
    <n v="0"/>
    <m/>
    <m/>
    <n v="2"/>
    <n v="0"/>
    <x v="0"/>
    <n v="0"/>
    <n v="0"/>
    <n v="0"/>
  </r>
  <r>
    <s v="Accenture"/>
    <x v="4"/>
    <x v="5"/>
    <n v="2"/>
    <m/>
    <m/>
    <n v="18"/>
    <n v="0"/>
    <x v="0"/>
    <n v="0"/>
    <n v="0"/>
    <n v="1"/>
  </r>
  <r>
    <s v="Alvarez &amp; Marsal"/>
    <x v="4"/>
    <x v="8"/>
    <n v="0"/>
    <m/>
    <m/>
    <n v="12"/>
    <n v="0"/>
    <x v="0"/>
    <n v="0"/>
    <n v="0"/>
    <n v="0"/>
  </r>
  <r>
    <s v="Arc Aspicio"/>
    <x v="4"/>
    <x v="0"/>
    <n v="13"/>
    <m/>
    <m/>
    <n v="19"/>
    <n v="0"/>
    <x v="0"/>
    <n v="0"/>
    <n v="0"/>
    <n v="1"/>
  </r>
  <r>
    <s v="Artemis Connection"/>
    <x v="4"/>
    <x v="24"/>
    <n v="29"/>
    <m/>
    <m/>
    <n v="39"/>
    <n v="0"/>
    <x v="0"/>
    <n v="0"/>
    <n v="0"/>
    <n v="1"/>
  </r>
  <r>
    <s v="AustinCSI"/>
    <x v="4"/>
    <x v="9"/>
    <n v="0"/>
    <m/>
    <m/>
    <n v="4"/>
    <n v="0"/>
    <x v="0"/>
    <n v="0"/>
    <n v="0"/>
    <n v="0"/>
  </r>
  <r>
    <s v="BSR (Business for Social Responsibility)"/>
    <x v="4"/>
    <x v="1"/>
    <n v="2"/>
    <m/>
    <m/>
    <n v="7"/>
    <n v="0"/>
    <x v="0"/>
    <n v="0"/>
    <n v="0"/>
    <n v="1"/>
  </r>
  <r>
    <s v="Capco"/>
    <x v="4"/>
    <x v="11"/>
    <n v="52"/>
    <m/>
    <m/>
    <n v="70"/>
    <n v="0"/>
    <x v="0"/>
    <n v="0"/>
    <n v="0"/>
    <n v="1"/>
  </r>
  <r>
    <s v="Capgemini"/>
    <x v="4"/>
    <x v="2"/>
    <n v="4"/>
    <m/>
    <m/>
    <n v="18"/>
    <n v="0"/>
    <x v="0"/>
    <n v="0"/>
    <n v="0"/>
    <n v="1"/>
  </r>
  <r>
    <s v="Credera"/>
    <x v="4"/>
    <x v="0"/>
    <n v="0"/>
    <m/>
    <m/>
    <n v="6"/>
    <n v="0"/>
    <x v="0"/>
    <n v="0"/>
    <n v="0"/>
    <n v="0"/>
  </r>
  <r>
    <s v="Dalberg"/>
    <x v="4"/>
    <x v="20"/>
    <n v="26"/>
    <m/>
    <m/>
    <n v="52"/>
    <n v="0"/>
    <x v="0"/>
    <n v="0"/>
    <n v="0"/>
    <n v="1"/>
  </r>
  <r>
    <s v="Dexis Consulting Group"/>
    <x v="4"/>
    <x v="1"/>
    <n v="0"/>
    <m/>
    <m/>
    <n v="5"/>
    <n v="0"/>
    <x v="0"/>
    <n v="0"/>
    <n v="0"/>
    <n v="0"/>
  </r>
  <r>
    <s v="FTI Consulting"/>
    <x v="4"/>
    <x v="5"/>
    <n v="12"/>
    <m/>
    <m/>
    <n v="28"/>
    <n v="0"/>
    <x v="0"/>
    <n v="0"/>
    <n v="0"/>
    <n v="1"/>
  </r>
  <r>
    <s v="GHD Group Pty Ltd"/>
    <x v="4"/>
    <x v="0"/>
    <n v="12"/>
    <m/>
    <m/>
    <n v="18"/>
    <n v="0"/>
    <x v="0"/>
    <n v="0"/>
    <n v="0"/>
    <n v="1"/>
  </r>
  <r>
    <s v="Guidehouse"/>
    <x v="4"/>
    <x v="13"/>
    <n v="17"/>
    <m/>
    <m/>
    <n v="26"/>
    <n v="0"/>
    <x v="0"/>
    <n v="0"/>
    <n v="0"/>
    <n v="1"/>
  </r>
  <r>
    <s v="Heidrick &amp; Struggles"/>
    <x v="4"/>
    <x v="5"/>
    <n v="12"/>
    <m/>
    <m/>
    <n v="28"/>
    <n v="0"/>
    <x v="0"/>
    <n v="0"/>
    <n v="0"/>
    <n v="1"/>
  </r>
  <r>
    <s v="Indigo Ag"/>
    <x v="4"/>
    <x v="8"/>
    <n v="0"/>
    <m/>
    <m/>
    <n v="12"/>
    <n v="0"/>
    <x v="0"/>
    <n v="0"/>
    <n v="0"/>
    <n v="0"/>
  </r>
  <r>
    <s v="Intentional Futures"/>
    <x v="4"/>
    <x v="4"/>
    <n v="6"/>
    <m/>
    <m/>
    <n v="14"/>
    <n v="0"/>
    <x v="0"/>
    <n v="0"/>
    <n v="0"/>
    <n v="1"/>
  </r>
  <r>
    <s v="Jasper Colin Research"/>
    <x v="4"/>
    <x v="14"/>
    <n v="18"/>
    <m/>
    <m/>
    <n v="42"/>
    <n v="0"/>
    <x v="0"/>
    <n v="0"/>
    <n v="0"/>
    <n v="1"/>
  </r>
  <r>
    <s v="Macro Consultants LLC"/>
    <x v="4"/>
    <x v="4"/>
    <n v="12"/>
    <m/>
    <m/>
    <n v="20"/>
    <n v="0"/>
    <x v="0"/>
    <n v="0"/>
    <n v="0"/>
    <n v="1"/>
  </r>
  <r>
    <s v="Mead &amp; Hunt"/>
    <x v="4"/>
    <x v="5"/>
    <n v="10"/>
    <m/>
    <m/>
    <n v="26"/>
    <n v="0"/>
    <x v="0"/>
    <n v="0"/>
    <n v="0"/>
    <n v="1"/>
  </r>
  <r>
    <s v="MSA Worldwide"/>
    <x v="4"/>
    <x v="4"/>
    <n v="0"/>
    <m/>
    <m/>
    <n v="8"/>
    <n v="0"/>
    <x v="0"/>
    <n v="0"/>
    <n v="0"/>
    <n v="0"/>
  </r>
  <r>
    <s v="MTX Group Inc"/>
    <x v="4"/>
    <x v="45"/>
    <n v="0"/>
    <m/>
    <m/>
    <n v="52"/>
    <n v="0"/>
    <x v="0"/>
    <n v="0"/>
    <n v="0"/>
    <n v="0"/>
  </r>
  <r>
    <s v="Navigant Consulting"/>
    <x v="4"/>
    <x v="0"/>
    <n v="6"/>
    <m/>
    <m/>
    <n v="12"/>
    <n v="0"/>
    <x v="0"/>
    <n v="0"/>
    <n v="0"/>
    <n v="1"/>
  </r>
  <r>
    <s v="Novantas Inc."/>
    <x v="4"/>
    <x v="0"/>
    <n v="0"/>
    <m/>
    <m/>
    <n v="6"/>
    <n v="0"/>
    <x v="0"/>
    <n v="0"/>
    <n v="0"/>
    <n v="0"/>
  </r>
  <r>
    <s v="NTT DATA Services"/>
    <x v="4"/>
    <x v="0"/>
    <n v="12"/>
    <m/>
    <m/>
    <n v="18"/>
    <n v="0"/>
    <x v="0"/>
    <n v="0"/>
    <n v="0"/>
    <n v="1"/>
  </r>
  <r>
    <s v="O.C. Tanner"/>
    <x v="4"/>
    <x v="0"/>
    <n v="12"/>
    <m/>
    <m/>
    <n v="18"/>
    <n v="0"/>
    <x v="0"/>
    <n v="0"/>
    <n v="0"/>
    <n v="1"/>
  </r>
  <r>
    <s v="OC&amp;C Strategy Consultants"/>
    <x v="4"/>
    <x v="20"/>
    <n v="26"/>
    <m/>
    <m/>
    <n v="52"/>
    <n v="0"/>
    <x v="0"/>
    <n v="0"/>
    <n v="0"/>
    <n v="1"/>
  </r>
  <r>
    <s v="Oliver Wyman"/>
    <x v="4"/>
    <x v="11"/>
    <n v="6"/>
    <m/>
    <m/>
    <n v="24"/>
    <n v="0"/>
    <x v="0"/>
    <n v="0"/>
    <n v="0"/>
    <n v="1"/>
  </r>
  <r>
    <s v="Perficient, Inc."/>
    <x v="4"/>
    <x v="9"/>
    <n v="4"/>
    <m/>
    <m/>
    <n v="8"/>
    <n v="0"/>
    <x v="0"/>
    <n v="0"/>
    <n v="0"/>
    <n v="1"/>
  </r>
  <r>
    <s v="PwC"/>
    <x v="4"/>
    <x v="5"/>
    <n v="4"/>
    <m/>
    <m/>
    <n v="20"/>
    <n v="0"/>
    <x v="0"/>
    <n v="0"/>
    <n v="0"/>
    <n v="1"/>
  </r>
  <r>
    <s v="Resource Systems Group"/>
    <x v="4"/>
    <x v="9"/>
    <n v="12"/>
    <m/>
    <m/>
    <n v="16"/>
    <n v="0"/>
    <x v="0"/>
    <n v="0"/>
    <n v="0"/>
    <n v="1"/>
  </r>
  <r>
    <s v="Search Discovery"/>
    <x v="4"/>
    <x v="32"/>
    <n v="6"/>
    <m/>
    <m/>
    <n v="13"/>
    <n v="0"/>
    <x v="0"/>
    <n v="0"/>
    <n v="0"/>
    <n v="1"/>
  </r>
  <r>
    <s v="Stride Consulting"/>
    <x v="4"/>
    <x v="6"/>
    <n v="7"/>
    <m/>
    <m/>
    <n v="10"/>
    <n v="0"/>
    <x v="0"/>
    <n v="0"/>
    <n v="0"/>
    <n v="1"/>
  </r>
  <r>
    <s v="TCG, Inc"/>
    <x v="4"/>
    <x v="6"/>
    <n v="16"/>
    <m/>
    <m/>
    <n v="19"/>
    <n v="0"/>
    <x v="0"/>
    <n v="0"/>
    <n v="0"/>
    <n v="1"/>
  </r>
  <r>
    <s v="True Group"/>
    <x v="4"/>
    <x v="0"/>
    <n v="12"/>
    <m/>
    <m/>
    <n v="18"/>
    <n v="0"/>
    <x v="0"/>
    <n v="0"/>
    <n v="0"/>
    <n v="1"/>
  </r>
  <r>
    <s v="West Monroe"/>
    <x v="4"/>
    <x v="8"/>
    <n v="0"/>
    <m/>
    <m/>
    <n v="12"/>
    <n v="0"/>
    <x v="0"/>
    <n v="0"/>
    <n v="0"/>
    <n v="0"/>
  </r>
  <r>
    <s v="ZS"/>
    <x v="4"/>
    <x v="5"/>
    <n v="12"/>
    <m/>
    <m/>
    <n v="28"/>
    <n v="0"/>
    <x v="0"/>
    <n v="0"/>
    <n v="0"/>
    <n v="1"/>
  </r>
  <r>
    <s v="Anheuser-Busch InBev"/>
    <x v="38"/>
    <x v="20"/>
    <n v="0"/>
    <m/>
    <m/>
    <n v="26"/>
    <n v="0"/>
    <x v="0"/>
    <n v="0"/>
    <n v="0"/>
    <n v="0"/>
  </r>
  <r>
    <s v="Beam Suntory"/>
    <x v="38"/>
    <x v="20"/>
    <n v="0"/>
    <m/>
    <m/>
    <n v="26"/>
    <n v="0"/>
    <x v="0"/>
    <n v="0"/>
    <n v="0"/>
    <n v="0"/>
  </r>
  <r>
    <s v="Boston Beer Company"/>
    <x v="38"/>
    <x v="6"/>
    <n v="10"/>
    <m/>
    <m/>
    <n v="13"/>
    <n v="0"/>
    <x v="0"/>
    <n v="0"/>
    <n v="0"/>
    <n v="1"/>
  </r>
  <r>
    <s v="Molson Coors Brewing Company"/>
    <x v="38"/>
    <x v="2"/>
    <n v="0"/>
    <m/>
    <m/>
    <n v="14"/>
    <n v="0"/>
    <x v="0"/>
    <n v="0"/>
    <n v="0"/>
    <n v="0"/>
  </r>
  <r>
    <s v="Nestle Waters"/>
    <x v="38"/>
    <x v="2"/>
    <n v="10"/>
    <m/>
    <m/>
    <n v="24"/>
    <n v="0"/>
    <x v="0"/>
    <n v="0"/>
    <n v="0"/>
    <n v="1"/>
  </r>
  <r>
    <s v="PepsiCo"/>
    <x v="38"/>
    <x v="0"/>
    <n v="6"/>
    <m/>
    <m/>
    <n v="12"/>
    <n v="0"/>
    <x v="0"/>
    <n v="0"/>
    <n v="0"/>
    <n v="1"/>
  </r>
  <r>
    <s v="Pernod Ricard"/>
    <x v="38"/>
    <x v="8"/>
    <n v="0"/>
    <m/>
    <m/>
    <n v="12"/>
    <n v="0"/>
    <x v="0"/>
    <n v="0"/>
    <n v="0"/>
    <n v="0"/>
  </r>
  <r>
    <s v="Ranch Rider Spirits"/>
    <x v="38"/>
    <x v="24"/>
    <n v="0"/>
    <m/>
    <m/>
    <n v="10"/>
    <n v="0"/>
    <x v="0"/>
    <n v="0"/>
    <n v="0"/>
    <n v="0"/>
  </r>
  <r>
    <s v="The Coca-Cola Company"/>
    <x v="38"/>
    <x v="8"/>
    <n v="0"/>
    <m/>
    <m/>
    <n v="12"/>
    <n v="0"/>
    <x v="0"/>
    <n v="0"/>
    <n v="0"/>
    <n v="0"/>
  </r>
  <r>
    <s v="Total Wine &amp; More"/>
    <x v="38"/>
    <x v="4"/>
    <m/>
    <n v="4"/>
    <m/>
    <n v="8"/>
    <n v="4"/>
    <x v="0"/>
    <n v="1"/>
    <n v="0"/>
    <n v="0"/>
  </r>
  <r>
    <s v=" Braum's Ice Cream &amp; Dairy Store"/>
    <x v="5"/>
    <x v="6"/>
    <n v="1"/>
    <m/>
    <m/>
    <n v="4"/>
    <n v="0"/>
    <x v="0"/>
    <n v="0"/>
    <n v="0"/>
    <n v="1"/>
  </r>
  <r>
    <s v="Ajinomoto"/>
    <x v="5"/>
    <x v="13"/>
    <n v="12"/>
    <m/>
    <m/>
    <n v="21"/>
    <n v="0"/>
    <x v="0"/>
    <n v="0"/>
    <n v="0"/>
    <n v="1"/>
  </r>
  <r>
    <s v="Bimbo Bakeries USA"/>
    <x v="5"/>
    <x v="4"/>
    <n v="24"/>
    <m/>
    <m/>
    <n v="32"/>
    <n v="0"/>
    <x v="0"/>
    <n v="0"/>
    <n v="0"/>
    <n v="1"/>
  </r>
  <r>
    <s v="Campbell Soup Company"/>
    <x v="5"/>
    <x v="24"/>
    <n v="0"/>
    <m/>
    <m/>
    <n v="10"/>
    <n v="0"/>
    <x v="0"/>
    <n v="0"/>
    <n v="0"/>
    <n v="0"/>
  </r>
  <r>
    <s v="Frito-Lay"/>
    <x v="5"/>
    <x v="0"/>
    <n v="6"/>
    <m/>
    <m/>
    <n v="12"/>
    <n v="0"/>
    <x v="0"/>
    <n v="0"/>
    <n v="0"/>
    <n v="1"/>
  </r>
  <r>
    <s v="Impossible Foods"/>
    <x v="5"/>
    <x v="8"/>
    <n v="17"/>
    <m/>
    <m/>
    <n v="29"/>
    <n v="0"/>
    <x v="0"/>
    <n v="0"/>
    <n v="0"/>
    <n v="1"/>
  </r>
  <r>
    <s v="Lindt &amp; SprŸngli"/>
    <x v="5"/>
    <x v="0"/>
    <n v="6"/>
    <m/>
    <m/>
    <n v="12"/>
    <n v="0"/>
    <x v="0"/>
    <n v="0"/>
    <n v="0"/>
    <n v="1"/>
  </r>
  <r>
    <s v="Nestle"/>
    <x v="5"/>
    <x v="2"/>
    <n v="26"/>
    <m/>
    <m/>
    <n v="40"/>
    <n v="0"/>
    <x v="0"/>
    <n v="0"/>
    <n v="0"/>
    <n v="1"/>
  </r>
  <r>
    <s v="R. M. Palmer Company"/>
    <x v="5"/>
    <x v="0"/>
    <n v="18"/>
    <m/>
    <m/>
    <n v="24"/>
    <n v="0"/>
    <x v="0"/>
    <n v="0"/>
    <n v="0"/>
    <n v="1"/>
  </r>
  <r>
    <s v="Taylor Company"/>
    <x v="5"/>
    <x v="20"/>
    <n v="0"/>
    <m/>
    <m/>
    <n v="26"/>
    <n v="0"/>
    <x v="0"/>
    <n v="0"/>
    <n v="0"/>
    <n v="0"/>
  </r>
  <r>
    <s v="The Coffee Bean &amp; Tea Leaf"/>
    <x v="5"/>
    <x v="0"/>
    <n v="0"/>
    <m/>
    <m/>
    <n v="6"/>
    <n v="0"/>
    <x v="0"/>
    <n v="0"/>
    <n v="0"/>
    <n v="0"/>
  </r>
  <r>
    <s v="The Dannon Company, Inc."/>
    <x v="5"/>
    <x v="23"/>
    <n v="0"/>
    <m/>
    <m/>
    <n v="20"/>
    <n v="0"/>
    <x v="0"/>
    <n v="0"/>
    <n v="0"/>
    <n v="0"/>
  </r>
  <r>
    <s v="The J.M. Smucker Company"/>
    <x v="5"/>
    <x v="4"/>
    <n v="0"/>
    <m/>
    <m/>
    <n v="8"/>
    <n v="0"/>
    <x v="0"/>
    <n v="0"/>
    <n v="0"/>
    <n v="0"/>
  </r>
  <r>
    <s v="WellPet LLC"/>
    <x v="5"/>
    <x v="8"/>
    <n v="12"/>
    <m/>
    <m/>
    <n v="24"/>
    <n v="0"/>
    <x v="0"/>
    <n v="0"/>
    <n v="0"/>
    <n v="1"/>
  </r>
  <r>
    <s v="Colgate-Palmolive Company"/>
    <x v="39"/>
    <x v="46"/>
    <n v="6"/>
    <m/>
    <m/>
    <n v="25.5"/>
    <n v="0"/>
    <x v="0"/>
    <n v="0"/>
    <n v="0"/>
    <n v="1"/>
  </r>
  <r>
    <s v="Elanco Animal Health"/>
    <x v="39"/>
    <x v="8"/>
    <n v="12"/>
    <m/>
    <m/>
    <n v="24"/>
    <n v="0"/>
    <x v="0"/>
    <n v="0"/>
    <n v="0"/>
    <n v="1"/>
  </r>
  <r>
    <s v="Henkel"/>
    <x v="39"/>
    <x v="4"/>
    <n v="3"/>
    <m/>
    <m/>
    <n v="11"/>
    <n v="0"/>
    <x v="0"/>
    <n v="0"/>
    <n v="0"/>
    <n v="1"/>
  </r>
  <r>
    <s v="Nestle Purina PetCare Company"/>
    <x v="39"/>
    <x v="34"/>
    <n v="0"/>
    <m/>
    <m/>
    <n v="8.5"/>
    <n v="0"/>
    <x v="0"/>
    <n v="0"/>
    <n v="0"/>
    <n v="0"/>
  </r>
  <r>
    <s v="Procter &amp; Gamble"/>
    <x v="39"/>
    <x v="8"/>
    <n v="2"/>
    <m/>
    <m/>
    <n v="14"/>
    <n v="0"/>
    <x v="0"/>
    <n v="0"/>
    <n v="0"/>
    <n v="1"/>
  </r>
  <r>
    <s v="The Scotts Miracle-Gro Company"/>
    <x v="39"/>
    <x v="24"/>
    <n v="0"/>
    <m/>
    <m/>
    <n v="10"/>
    <n v="0"/>
    <x v="0"/>
    <n v="0"/>
    <n v="0"/>
    <n v="0"/>
  </r>
  <r>
    <s v="Altria Group, Inc."/>
    <x v="104"/>
    <x v="0"/>
    <n v="0"/>
    <m/>
    <m/>
    <n v="6"/>
    <n v="0"/>
    <x v="0"/>
    <n v="0"/>
    <n v="0"/>
    <n v="0"/>
  </r>
  <r>
    <s v="Reynolds American Inc."/>
    <x v="104"/>
    <x v="5"/>
    <m/>
    <n v="16"/>
    <m/>
    <n v="16"/>
    <n v="16"/>
    <x v="0"/>
    <n v="1"/>
    <n v="0"/>
    <n v="0"/>
  </r>
  <r>
    <s v="Munchkin"/>
    <x v="40"/>
    <x v="0"/>
    <n v="0"/>
    <m/>
    <m/>
    <n v="6"/>
    <n v="0"/>
    <x v="0"/>
    <n v="0"/>
    <n v="0"/>
    <n v="0"/>
  </r>
  <r>
    <s v="Aesop"/>
    <x v="41"/>
    <x v="8"/>
    <m/>
    <n v="6"/>
    <m/>
    <n v="12"/>
    <n v="6"/>
    <x v="0"/>
    <n v="1"/>
    <n v="0"/>
    <n v="0"/>
  </r>
  <r>
    <s v="Benefit Cosmetics LLC"/>
    <x v="41"/>
    <x v="8"/>
    <n v="4"/>
    <m/>
    <m/>
    <n v="16"/>
    <n v="0"/>
    <x v="0"/>
    <n v="0"/>
    <n v="0"/>
    <n v="1"/>
  </r>
  <r>
    <s v="Curology"/>
    <x v="41"/>
    <x v="8"/>
    <n v="12"/>
    <m/>
    <m/>
    <n v="24"/>
    <n v="0"/>
    <x v="0"/>
    <n v="0"/>
    <n v="0"/>
    <n v="1"/>
  </r>
  <r>
    <s v="Edge Systems LLC"/>
    <x v="41"/>
    <x v="8"/>
    <n v="0"/>
    <m/>
    <m/>
    <n v="12"/>
    <n v="0"/>
    <x v="0"/>
    <n v="0"/>
    <n v="0"/>
    <n v="0"/>
  </r>
  <r>
    <s v="Estee Lauder Companies"/>
    <x v="41"/>
    <x v="14"/>
    <n v="0"/>
    <m/>
    <m/>
    <n v="24"/>
    <n v="0"/>
    <x v="0"/>
    <n v="0"/>
    <n v="0"/>
    <n v="0"/>
  </r>
  <r>
    <s v="Mac Cosmetics"/>
    <x v="41"/>
    <x v="8"/>
    <n v="8"/>
    <m/>
    <m/>
    <n v="20"/>
    <n v="0"/>
    <x v="0"/>
    <n v="0"/>
    <n v="0"/>
    <n v="1"/>
  </r>
  <r>
    <s v="Revlon"/>
    <x v="41"/>
    <x v="8"/>
    <n v="12"/>
    <m/>
    <m/>
    <n v="24"/>
    <n v="0"/>
    <x v="0"/>
    <n v="0"/>
    <n v="0"/>
    <n v="1"/>
  </r>
  <r>
    <s v="BAE Systems"/>
    <x v="6"/>
    <x v="22"/>
    <n v="12"/>
    <m/>
    <m/>
    <n v="14"/>
    <n v="0"/>
    <x v="0"/>
    <n v="0"/>
    <n v="0"/>
    <n v="1"/>
  </r>
  <r>
    <s v="L3Harris"/>
    <x v="6"/>
    <x v="1"/>
    <n v="3"/>
    <m/>
    <m/>
    <n v="8"/>
    <n v="0"/>
    <x v="0"/>
    <n v="0"/>
    <n v="0"/>
    <n v="1"/>
  </r>
  <r>
    <s v="Sierra Nevada Corperation"/>
    <x v="6"/>
    <x v="1"/>
    <n v="8"/>
    <m/>
    <m/>
    <n v="13"/>
    <n v="0"/>
    <x v="0"/>
    <n v="0"/>
    <n v="0"/>
    <n v="1"/>
  </r>
  <r>
    <s v="Textron Systems"/>
    <x v="6"/>
    <x v="22"/>
    <n v="0"/>
    <m/>
    <m/>
    <n v="2"/>
    <n v="0"/>
    <x v="0"/>
    <n v="0"/>
    <n v="0"/>
    <n v="0"/>
  </r>
  <r>
    <s v="10up"/>
    <x v="105"/>
    <x v="9"/>
    <n v="12"/>
    <m/>
    <m/>
    <n v="16"/>
    <n v="0"/>
    <x v="0"/>
    <n v="0"/>
    <n v="0"/>
    <n v="1"/>
  </r>
  <r>
    <s v="Kettle"/>
    <x v="105"/>
    <x v="8"/>
    <n v="12"/>
    <m/>
    <m/>
    <n v="24"/>
    <n v="0"/>
    <x v="0"/>
    <n v="0"/>
    <n v="0"/>
    <n v="1"/>
  </r>
  <r>
    <s v="Reaktor"/>
    <x v="105"/>
    <x v="5"/>
    <n v="8"/>
    <m/>
    <m/>
    <n v="24"/>
    <n v="0"/>
    <x v="0"/>
    <n v="0"/>
    <n v="0"/>
    <n v="1"/>
  </r>
  <r>
    <s v="Bard College"/>
    <x v="7"/>
    <x v="4"/>
    <n v="6"/>
    <m/>
    <m/>
    <n v="14"/>
    <n v="0"/>
    <x v="0"/>
    <n v="0"/>
    <n v="0"/>
    <n v="1"/>
  </r>
  <r>
    <s v="Bryant University"/>
    <x v="7"/>
    <x v="7"/>
    <n v="6"/>
    <m/>
    <m/>
    <n v="6"/>
    <n v="0"/>
    <x v="1"/>
    <n v="0"/>
    <n v="0"/>
    <n v="1"/>
  </r>
  <r>
    <s v="California State University"/>
    <x v="7"/>
    <x v="9"/>
    <n v="12"/>
    <m/>
    <m/>
    <n v="16"/>
    <n v="0"/>
    <x v="0"/>
    <n v="0"/>
    <n v="0"/>
    <n v="1"/>
  </r>
  <r>
    <s v="Capella University"/>
    <x v="7"/>
    <x v="8"/>
    <n v="4"/>
    <m/>
    <m/>
    <n v="16"/>
    <n v="0"/>
    <x v="0"/>
    <n v="0"/>
    <n v="0"/>
    <n v="1"/>
  </r>
  <r>
    <s v="Case Western Reserve University"/>
    <x v="7"/>
    <x v="32"/>
    <n v="0"/>
    <m/>
    <m/>
    <n v="7"/>
    <n v="0"/>
    <x v="0"/>
    <n v="0"/>
    <n v="0"/>
    <n v="0"/>
  </r>
  <r>
    <s v="Colorado State University"/>
    <x v="7"/>
    <x v="6"/>
    <n v="9"/>
    <m/>
    <m/>
    <n v="12"/>
    <n v="0"/>
    <x v="0"/>
    <n v="0"/>
    <n v="0"/>
    <n v="1"/>
  </r>
  <r>
    <s v="Columbia University"/>
    <x v="7"/>
    <x v="0"/>
    <n v="12"/>
    <m/>
    <m/>
    <n v="18"/>
    <n v="0"/>
    <x v="0"/>
    <n v="0"/>
    <n v="0"/>
    <n v="1"/>
  </r>
  <r>
    <s v="Columbia University Information Technology"/>
    <x v="7"/>
    <x v="0"/>
    <n v="6"/>
    <m/>
    <m/>
    <n v="12"/>
    <n v="0"/>
    <x v="0"/>
    <n v="0"/>
    <n v="0"/>
    <n v="1"/>
  </r>
  <r>
    <s v="Dartmouth College"/>
    <x v="7"/>
    <x v="22"/>
    <n v="8"/>
    <m/>
    <m/>
    <n v="10"/>
    <n v="0"/>
    <x v="0"/>
    <n v="0"/>
    <n v="0"/>
    <n v="1"/>
  </r>
  <r>
    <s v="Dickinson College"/>
    <x v="7"/>
    <x v="8"/>
    <m/>
    <n v="6"/>
    <m/>
    <n v="12"/>
    <n v="6"/>
    <x v="0"/>
    <n v="1"/>
    <n v="0"/>
    <n v="0"/>
  </r>
  <r>
    <s v="Duke University"/>
    <x v="7"/>
    <x v="0"/>
    <n v="9"/>
    <m/>
    <m/>
    <n v="15"/>
    <n v="0"/>
    <x v="0"/>
    <n v="0"/>
    <n v="0"/>
    <n v="1"/>
  </r>
  <r>
    <s v="Ferris State University"/>
    <x v="7"/>
    <x v="0"/>
    <n v="6"/>
    <m/>
    <m/>
    <n v="12"/>
    <n v="0"/>
    <x v="0"/>
    <n v="0"/>
    <n v="0"/>
    <n v="1"/>
  </r>
  <r>
    <s v="Florida International University"/>
    <x v="7"/>
    <x v="0"/>
    <n v="12"/>
    <m/>
    <m/>
    <n v="18"/>
    <n v="0"/>
    <x v="0"/>
    <n v="0"/>
    <n v="0"/>
    <n v="1"/>
  </r>
  <r>
    <s v="Georgetown University"/>
    <x v="7"/>
    <x v="4"/>
    <n v="0"/>
    <m/>
    <m/>
    <n v="8"/>
    <n v="0"/>
    <x v="0"/>
    <n v="0"/>
    <n v="0"/>
    <n v="0"/>
  </r>
  <r>
    <s v="Griffith University"/>
    <x v="7"/>
    <x v="20"/>
    <n v="26"/>
    <m/>
    <m/>
    <n v="52"/>
    <n v="0"/>
    <x v="0"/>
    <n v="0"/>
    <n v="0"/>
    <n v="1"/>
  </r>
  <r>
    <s v="Harvard Business School"/>
    <x v="7"/>
    <x v="5"/>
    <n v="7"/>
    <m/>
    <m/>
    <n v="23"/>
    <n v="0"/>
    <x v="0"/>
    <n v="0"/>
    <n v="0"/>
    <n v="1"/>
  </r>
  <r>
    <s v="Harvard University"/>
    <x v="7"/>
    <x v="8"/>
    <n v="12"/>
    <m/>
    <m/>
    <n v="24"/>
    <n v="0"/>
    <x v="0"/>
    <n v="0"/>
    <n v="0"/>
    <n v="1"/>
  </r>
  <r>
    <s v="Imperial College London"/>
    <x v="7"/>
    <x v="11"/>
    <n v="20"/>
    <m/>
    <m/>
    <n v="38"/>
    <n v="0"/>
    <x v="0"/>
    <n v="0"/>
    <n v="0"/>
    <n v="1"/>
  </r>
  <r>
    <s v="Indiana University"/>
    <x v="7"/>
    <x v="0"/>
    <n v="12"/>
    <m/>
    <m/>
    <n v="18"/>
    <n v="0"/>
    <x v="0"/>
    <n v="0"/>
    <n v="0"/>
    <n v="1"/>
  </r>
  <r>
    <s v="IUPUI"/>
    <x v="7"/>
    <x v="0"/>
    <n v="6"/>
    <m/>
    <m/>
    <n v="12"/>
    <n v="0"/>
    <x v="0"/>
    <n v="0"/>
    <n v="0"/>
    <n v="1"/>
  </r>
  <r>
    <s v="Johns Hopkins University"/>
    <x v="7"/>
    <x v="24"/>
    <n v="12"/>
    <m/>
    <m/>
    <n v="22"/>
    <n v="0"/>
    <x v="0"/>
    <n v="0"/>
    <n v="0"/>
    <n v="1"/>
  </r>
  <r>
    <s v="Johns Hopkins University Applied Physics Laboratory"/>
    <x v="7"/>
    <x v="22"/>
    <n v="26"/>
    <m/>
    <m/>
    <n v="28"/>
    <n v="0"/>
    <x v="0"/>
    <n v="0"/>
    <n v="0"/>
    <n v="1"/>
  </r>
  <r>
    <s v="Lasell College"/>
    <x v="7"/>
    <x v="8"/>
    <n v="0"/>
    <m/>
    <m/>
    <n v="12"/>
    <n v="0"/>
    <x v="0"/>
    <n v="0"/>
    <n v="0"/>
    <n v="0"/>
  </r>
  <r>
    <s v="Marquette University"/>
    <x v="7"/>
    <x v="4"/>
    <n v="0"/>
    <m/>
    <m/>
    <n v="8"/>
    <n v="0"/>
    <x v="0"/>
    <n v="0"/>
    <n v="0"/>
    <n v="0"/>
  </r>
  <r>
    <s v="Medical University of South Carolina"/>
    <x v="7"/>
    <x v="0"/>
    <n v="6"/>
    <m/>
    <m/>
    <n v="12"/>
    <n v="0"/>
    <x v="0"/>
    <n v="0"/>
    <n v="0"/>
    <n v="1"/>
  </r>
  <r>
    <s v="New York University"/>
    <x v="7"/>
    <x v="8"/>
    <n v="0"/>
    <m/>
    <m/>
    <n v="12"/>
    <n v="0"/>
    <x v="0"/>
    <n v="0"/>
    <n v="0"/>
    <n v="0"/>
  </r>
  <r>
    <s v="Northeastern University"/>
    <x v="7"/>
    <x v="4"/>
    <n v="4"/>
    <m/>
    <m/>
    <n v="12"/>
    <n v="0"/>
    <x v="0"/>
    <n v="0"/>
    <n v="0"/>
    <n v="1"/>
  </r>
  <r>
    <s v="Northwestern University"/>
    <x v="7"/>
    <x v="13"/>
    <n v="6"/>
    <m/>
    <m/>
    <n v="15"/>
    <n v="0"/>
    <x v="0"/>
    <n v="0"/>
    <n v="0"/>
    <n v="1"/>
  </r>
  <r>
    <s v="NYU School of Medicine"/>
    <x v="7"/>
    <x v="1"/>
    <n v="24"/>
    <m/>
    <m/>
    <n v="29"/>
    <n v="0"/>
    <x v="0"/>
    <n v="0"/>
    <n v="0"/>
    <n v="1"/>
  </r>
  <r>
    <s v="Rutgers University"/>
    <x v="7"/>
    <x v="0"/>
    <n v="12"/>
    <m/>
    <m/>
    <n v="18"/>
    <n v="0"/>
    <x v="0"/>
    <n v="0"/>
    <n v="0"/>
    <n v="1"/>
  </r>
  <r>
    <s v="The George Washington University"/>
    <x v="7"/>
    <x v="0"/>
    <n v="2"/>
    <m/>
    <m/>
    <n v="8"/>
    <n v="0"/>
    <x v="0"/>
    <n v="0"/>
    <n v="0"/>
    <n v="1"/>
  </r>
  <r>
    <s v="The Ohio State University"/>
    <x v="7"/>
    <x v="8"/>
    <n v="12"/>
    <m/>
    <m/>
    <n v="24"/>
    <n v="0"/>
    <x v="0"/>
    <n v="0"/>
    <n v="0"/>
    <n v="1"/>
  </r>
  <r>
    <s v="Tufts University"/>
    <x v="7"/>
    <x v="8"/>
    <n v="4"/>
    <m/>
    <m/>
    <n v="16"/>
    <n v="0"/>
    <x v="0"/>
    <n v="0"/>
    <n v="0"/>
    <n v="1"/>
  </r>
  <r>
    <s v="UCLA"/>
    <x v="7"/>
    <x v="35"/>
    <n v="9"/>
    <m/>
    <m/>
    <n v="22"/>
    <n v="0"/>
    <x v="0"/>
    <n v="0"/>
    <n v="0"/>
    <n v="1"/>
  </r>
  <r>
    <s v="University at Buffalo"/>
    <x v="7"/>
    <x v="8"/>
    <n v="12"/>
    <m/>
    <m/>
    <n v="24"/>
    <n v="0"/>
    <x v="0"/>
    <n v="0"/>
    <n v="0"/>
    <n v="1"/>
  </r>
  <r>
    <s v="University of Arizona"/>
    <x v="7"/>
    <x v="0"/>
    <n v="3"/>
    <m/>
    <m/>
    <n v="9"/>
    <n v="0"/>
    <x v="0"/>
    <n v="0"/>
    <n v="0"/>
    <n v="1"/>
  </r>
  <r>
    <s v="University of British Columbia"/>
    <x v="7"/>
    <x v="45"/>
    <n v="0"/>
    <m/>
    <m/>
    <n v="52"/>
    <n v="0"/>
    <x v="0"/>
    <n v="0"/>
    <n v="0"/>
    <n v="0"/>
  </r>
  <r>
    <s v="University of California Berkeley"/>
    <x v="7"/>
    <x v="8"/>
    <n v="12"/>
    <m/>
    <m/>
    <n v="24"/>
    <n v="0"/>
    <x v="0"/>
    <n v="0"/>
    <n v="0"/>
    <n v="1"/>
  </r>
  <r>
    <s v="University of Massachusetts Amherst"/>
    <x v="7"/>
    <x v="8"/>
    <n v="24"/>
    <m/>
    <m/>
    <n v="36"/>
    <n v="0"/>
    <x v="0"/>
    <n v="0"/>
    <n v="0"/>
    <n v="1"/>
  </r>
  <r>
    <s v="University of Michigan"/>
    <x v="7"/>
    <x v="8"/>
    <n v="12"/>
    <m/>
    <m/>
    <n v="24"/>
    <n v="0"/>
    <x v="0"/>
    <n v="0"/>
    <n v="0"/>
    <n v="1"/>
  </r>
  <r>
    <s v="University of New Hampshire"/>
    <x v="7"/>
    <x v="8"/>
    <n v="0"/>
    <m/>
    <m/>
    <n v="12"/>
    <n v="0"/>
    <x v="0"/>
    <n v="0"/>
    <n v="0"/>
    <n v="0"/>
  </r>
  <r>
    <s v="University of Notre Dame"/>
    <x v="7"/>
    <x v="8"/>
    <n v="12"/>
    <m/>
    <m/>
    <n v="24"/>
    <n v="0"/>
    <x v="0"/>
    <n v="0"/>
    <n v="0"/>
    <n v="1"/>
  </r>
  <r>
    <s v="University of Tampa"/>
    <x v="7"/>
    <x v="0"/>
    <n v="6"/>
    <m/>
    <m/>
    <n v="12"/>
    <n v="0"/>
    <x v="0"/>
    <n v="0"/>
    <n v="0"/>
    <n v="1"/>
  </r>
  <r>
    <s v="Utah State University"/>
    <x v="7"/>
    <x v="9"/>
    <m/>
    <n v="0"/>
    <m/>
    <n v="4"/>
    <n v="0"/>
    <x v="0"/>
    <n v="0"/>
    <n v="0"/>
    <n v="0"/>
  </r>
  <r>
    <s v="Virgina Commonwealth University"/>
    <x v="7"/>
    <x v="9"/>
    <n v="4"/>
    <m/>
    <m/>
    <n v="8"/>
    <n v="0"/>
    <x v="0"/>
    <n v="0"/>
    <n v="0"/>
    <n v="1"/>
  </r>
  <r>
    <s v="Webster University"/>
    <x v="7"/>
    <x v="0"/>
    <n v="6"/>
    <m/>
    <m/>
    <n v="12"/>
    <n v="0"/>
    <x v="0"/>
    <n v="0"/>
    <n v="0"/>
    <n v="1"/>
  </r>
  <r>
    <s v="Wheaton College"/>
    <x v="7"/>
    <x v="9"/>
    <n v="0"/>
    <m/>
    <m/>
    <n v="4"/>
    <n v="0"/>
    <x v="0"/>
    <n v="0"/>
    <n v="0"/>
    <n v="0"/>
  </r>
  <r>
    <s v="360DigiTMG"/>
    <x v="42"/>
    <x v="22"/>
    <n v="4"/>
    <m/>
    <m/>
    <n v="6"/>
    <n v="0"/>
    <x v="0"/>
    <n v="0"/>
    <n v="0"/>
    <n v="1"/>
  </r>
  <r>
    <s v="Chegg"/>
    <x v="42"/>
    <x v="24"/>
    <n v="12"/>
    <m/>
    <m/>
    <n v="22"/>
    <n v="0"/>
    <x v="0"/>
    <n v="0"/>
    <n v="0"/>
    <n v="1"/>
  </r>
  <r>
    <s v="Clever"/>
    <x v="42"/>
    <x v="8"/>
    <n v="0"/>
    <m/>
    <m/>
    <n v="12"/>
    <n v="0"/>
    <x v="0"/>
    <n v="0"/>
    <n v="0"/>
    <n v="0"/>
  </r>
  <r>
    <s v="Degreed"/>
    <x v="42"/>
    <x v="47"/>
    <n v="46"/>
    <m/>
    <m/>
    <n v="78"/>
    <n v="0"/>
    <x v="0"/>
    <n v="0"/>
    <n v="0"/>
    <n v="1"/>
  </r>
  <r>
    <s v="Imagine Learning"/>
    <x v="42"/>
    <x v="0"/>
    <n v="0"/>
    <m/>
    <m/>
    <n v="6"/>
    <n v="0"/>
    <x v="0"/>
    <n v="0"/>
    <n v="0"/>
    <n v="0"/>
  </r>
  <r>
    <s v="Pluralsight"/>
    <x v="42"/>
    <x v="0"/>
    <n v="0"/>
    <m/>
    <m/>
    <n v="6"/>
    <n v="0"/>
    <x v="0"/>
    <n v="0"/>
    <n v="0"/>
    <n v="0"/>
  </r>
  <r>
    <s v="Renaissance Learning"/>
    <x v="42"/>
    <x v="13"/>
    <n v="6"/>
    <m/>
    <m/>
    <n v="15"/>
    <n v="0"/>
    <x v="0"/>
    <n v="0"/>
    <n v="0"/>
    <n v="1"/>
  </r>
  <r>
    <s v="Skillcrush"/>
    <x v="42"/>
    <x v="4"/>
    <n v="8"/>
    <m/>
    <m/>
    <n v="16"/>
    <n v="0"/>
    <x v="0"/>
    <n v="0"/>
    <n v="0"/>
    <n v="1"/>
  </r>
  <r>
    <s v="Soomo Learning"/>
    <x v="42"/>
    <x v="8"/>
    <n v="0"/>
    <m/>
    <m/>
    <n v="12"/>
    <n v="0"/>
    <x v="0"/>
    <n v="0"/>
    <n v="0"/>
    <n v="0"/>
  </r>
  <r>
    <s v="Zearn"/>
    <x v="42"/>
    <x v="8"/>
    <n v="4"/>
    <m/>
    <m/>
    <n v="16"/>
    <n v="0"/>
    <x v="0"/>
    <n v="0"/>
    <n v="0"/>
    <n v="1"/>
  </r>
  <r>
    <s v="CIEE"/>
    <x v="106"/>
    <x v="8"/>
    <n v="12"/>
    <m/>
    <m/>
    <n v="24"/>
    <n v="0"/>
    <x v="0"/>
    <n v="0"/>
    <n v="0"/>
    <n v="1"/>
  </r>
  <r>
    <s v="General Assembly"/>
    <x v="106"/>
    <x v="5"/>
    <n v="4"/>
    <m/>
    <m/>
    <n v="20"/>
    <n v="0"/>
    <x v="0"/>
    <n v="0"/>
    <n v="0"/>
    <n v="1"/>
  </r>
  <r>
    <s v="NWEA"/>
    <x v="106"/>
    <x v="4"/>
    <n v="52"/>
    <m/>
    <m/>
    <n v="60"/>
    <n v="0"/>
    <x v="0"/>
    <n v="0"/>
    <n v="0"/>
    <n v="1"/>
  </r>
  <r>
    <s v="Prince William County Public Schools"/>
    <x v="106"/>
    <x v="8"/>
    <n v="12"/>
    <m/>
    <m/>
    <n v="24"/>
    <n v="0"/>
    <x v="0"/>
    <n v="0"/>
    <n v="0"/>
    <n v="1"/>
  </r>
  <r>
    <s v="Santa Fe Public Schools"/>
    <x v="106"/>
    <x v="9"/>
    <n v="36"/>
    <m/>
    <m/>
    <n v="40"/>
    <n v="0"/>
    <x v="0"/>
    <n v="0"/>
    <n v="0"/>
    <n v="1"/>
  </r>
  <r>
    <s v="Teachstone"/>
    <x v="106"/>
    <x v="22"/>
    <n v="12"/>
    <m/>
    <m/>
    <n v="14"/>
    <n v="0"/>
    <x v="0"/>
    <n v="0"/>
    <n v="0"/>
    <n v="1"/>
  </r>
  <r>
    <s v="The College Board"/>
    <x v="106"/>
    <x v="4"/>
    <n v="8"/>
    <m/>
    <m/>
    <n v="16"/>
    <n v="0"/>
    <x v="0"/>
    <n v="0"/>
    <n v="0"/>
    <n v="1"/>
  </r>
  <r>
    <s v="ACT, Inc"/>
    <x v="107"/>
    <x v="0"/>
    <n v="0"/>
    <m/>
    <m/>
    <n v="6"/>
    <n v="0"/>
    <x v="0"/>
    <n v="0"/>
    <n v="0"/>
    <n v="0"/>
  </r>
  <r>
    <s v="British Council"/>
    <x v="107"/>
    <x v="20"/>
    <n v="0"/>
    <m/>
    <m/>
    <n v="26"/>
    <n v="0"/>
    <x v="0"/>
    <n v="0"/>
    <n v="0"/>
    <n v="0"/>
  </r>
  <r>
    <s v="Pearson"/>
    <x v="107"/>
    <x v="34"/>
    <n v="8"/>
    <m/>
    <m/>
    <n v="16.5"/>
    <n v="0"/>
    <x v="0"/>
    <n v="0"/>
    <n v="0"/>
    <n v="1"/>
  </r>
  <r>
    <s v="Savvas Learning Company"/>
    <x v="107"/>
    <x v="6"/>
    <n v="12"/>
    <m/>
    <m/>
    <n v="15"/>
    <n v="0"/>
    <x v="0"/>
    <n v="0"/>
    <n v="0"/>
    <n v="1"/>
  </r>
  <r>
    <s v="Texas A&amp;M AgriLife Research"/>
    <x v="107"/>
    <x v="20"/>
    <n v="0"/>
    <m/>
    <m/>
    <n v="26"/>
    <n v="0"/>
    <x v="0"/>
    <n v="0"/>
    <n v="0"/>
    <n v="0"/>
  </r>
  <r>
    <s v="The Concord Consortium"/>
    <x v="107"/>
    <x v="4"/>
    <n v="0"/>
    <m/>
    <m/>
    <n v="8"/>
    <n v="0"/>
    <x v="0"/>
    <n v="0"/>
    <n v="0"/>
    <n v="0"/>
  </r>
  <r>
    <s v="KinderCare Learning Companies"/>
    <x v="108"/>
    <x v="0"/>
    <n v="0"/>
    <m/>
    <m/>
    <n v="6"/>
    <n v="0"/>
    <x v="0"/>
    <n v="0"/>
    <n v="0"/>
    <n v="0"/>
  </r>
  <r>
    <s v="Aperian Global"/>
    <x v="109"/>
    <x v="9"/>
    <n v="12"/>
    <m/>
    <m/>
    <n v="16"/>
    <n v="0"/>
    <x v="0"/>
    <n v="0"/>
    <n v="0"/>
    <n v="1"/>
  </r>
  <r>
    <s v="Achievement First"/>
    <x v="110"/>
    <x v="48"/>
    <n v="14"/>
    <m/>
    <m/>
    <n v="56"/>
    <n v="0"/>
    <x v="0"/>
    <n v="0"/>
    <n v="0"/>
    <n v="1"/>
  </r>
  <r>
    <s v="Cobb County School District"/>
    <x v="110"/>
    <x v="0"/>
    <n v="12"/>
    <m/>
    <m/>
    <n v="18"/>
    <n v="0"/>
    <x v="0"/>
    <n v="0"/>
    <n v="0"/>
    <n v="1"/>
  </r>
  <r>
    <s v="Curtis Institute of Music"/>
    <x v="110"/>
    <x v="8"/>
    <m/>
    <n v="12"/>
    <m/>
    <n v="12"/>
    <n v="12"/>
    <x v="0"/>
    <n v="1"/>
    <n v="0"/>
    <n v="0"/>
  </r>
  <r>
    <s v="Henderson Collegiate"/>
    <x v="110"/>
    <x v="13"/>
    <n v="3"/>
    <m/>
    <m/>
    <n v="12"/>
    <n v="0"/>
    <x v="0"/>
    <n v="0"/>
    <n v="0"/>
    <n v="1"/>
  </r>
  <r>
    <s v="Humble Independent School District"/>
    <x v="110"/>
    <x v="8"/>
    <n v="0"/>
    <m/>
    <m/>
    <n v="12"/>
    <n v="0"/>
    <x v="0"/>
    <n v="0"/>
    <n v="0"/>
    <n v="0"/>
  </r>
  <r>
    <s v="IDEA Public Schools"/>
    <x v="110"/>
    <x v="0"/>
    <n v="6"/>
    <m/>
    <m/>
    <n v="12"/>
    <n v="0"/>
    <x v="0"/>
    <n v="0"/>
    <n v="0"/>
    <n v="1"/>
  </r>
  <r>
    <s v="Long Trail School"/>
    <x v="110"/>
    <x v="0"/>
    <n v="0"/>
    <m/>
    <m/>
    <n v="6"/>
    <n v="0"/>
    <x v="0"/>
    <n v="0"/>
    <n v="0"/>
    <n v="0"/>
  </r>
  <r>
    <s v="San Francisco Unified School District"/>
    <x v="110"/>
    <x v="0"/>
    <n v="0"/>
    <m/>
    <m/>
    <n v="6"/>
    <n v="0"/>
    <x v="0"/>
    <n v="0"/>
    <n v="0"/>
    <n v="0"/>
  </r>
  <r>
    <s v="The Meadowbrook School of Weston"/>
    <x v="110"/>
    <x v="8"/>
    <n v="0"/>
    <m/>
    <m/>
    <n v="12"/>
    <n v="0"/>
    <x v="0"/>
    <n v="0"/>
    <n v="0"/>
    <n v="0"/>
  </r>
  <r>
    <s v="Creative Education Services"/>
    <x v="111"/>
    <x v="5"/>
    <n v="0"/>
    <m/>
    <m/>
    <n v="16"/>
    <n v="0"/>
    <x v="0"/>
    <n v="0"/>
    <n v="0"/>
    <n v="0"/>
  </r>
  <r>
    <s v="Armada Technologies"/>
    <x v="8"/>
    <x v="22"/>
    <n v="10"/>
    <m/>
    <m/>
    <n v="12"/>
    <n v="0"/>
    <x v="0"/>
    <n v="0"/>
    <n v="0"/>
    <n v="1"/>
  </r>
  <r>
    <s v="Bose"/>
    <x v="8"/>
    <x v="8"/>
    <n v="12"/>
    <m/>
    <m/>
    <n v="24"/>
    <n v="0"/>
    <x v="0"/>
    <n v="0"/>
    <n v="0"/>
    <n v="1"/>
  </r>
  <r>
    <s v="Harman International Industries"/>
    <x v="8"/>
    <x v="8"/>
    <n v="0"/>
    <m/>
    <m/>
    <n v="12"/>
    <n v="0"/>
    <x v="0"/>
    <n v="0"/>
    <n v="0"/>
    <n v="0"/>
  </r>
  <r>
    <s v="iRobot"/>
    <x v="8"/>
    <x v="12"/>
    <n v="0"/>
    <m/>
    <m/>
    <n v="15"/>
    <n v="0"/>
    <x v="0"/>
    <n v="0"/>
    <n v="0"/>
    <n v="0"/>
  </r>
  <r>
    <s v="Keysight Technologies"/>
    <x v="8"/>
    <x v="4"/>
    <n v="52"/>
    <m/>
    <m/>
    <n v="60"/>
    <n v="0"/>
    <x v="0"/>
    <n v="0"/>
    <n v="0"/>
    <n v="1"/>
  </r>
  <r>
    <s v="Legrand"/>
    <x v="8"/>
    <x v="8"/>
    <n v="2"/>
    <m/>
    <m/>
    <n v="14"/>
    <n v="0"/>
    <x v="0"/>
    <n v="0"/>
    <n v="0"/>
    <n v="1"/>
  </r>
  <r>
    <s v="Maxim Integrated Products"/>
    <x v="8"/>
    <x v="4"/>
    <n v="12"/>
    <m/>
    <m/>
    <n v="20"/>
    <n v="0"/>
    <x v="0"/>
    <n v="0"/>
    <n v="0"/>
    <n v="1"/>
  </r>
  <r>
    <s v="Philips"/>
    <x v="8"/>
    <x v="4"/>
    <n v="4"/>
    <m/>
    <m/>
    <n v="12"/>
    <n v="0"/>
    <x v="0"/>
    <n v="0"/>
    <n v="0"/>
    <n v="1"/>
  </r>
  <r>
    <s v="Radar"/>
    <x v="8"/>
    <x v="8"/>
    <n v="0"/>
    <m/>
    <m/>
    <n v="12"/>
    <n v="0"/>
    <x v="0"/>
    <n v="0"/>
    <n v="0"/>
    <n v="0"/>
  </r>
  <r>
    <s v="Sanmina"/>
    <x v="8"/>
    <x v="0"/>
    <n v="6"/>
    <m/>
    <m/>
    <n v="12"/>
    <n v="0"/>
    <x v="0"/>
    <n v="0"/>
    <n v="0"/>
    <n v="1"/>
  </r>
  <r>
    <s v="Trane Technologies"/>
    <x v="8"/>
    <x v="15"/>
    <n v="0"/>
    <m/>
    <m/>
    <n v="11"/>
    <n v="0"/>
    <x v="0"/>
    <n v="0"/>
    <n v="0"/>
    <n v="0"/>
  </r>
  <r>
    <s v="Reprise"/>
    <x v="112"/>
    <x v="8"/>
    <n v="0"/>
    <m/>
    <m/>
    <n v="12"/>
    <n v="0"/>
    <x v="0"/>
    <n v="0"/>
    <n v="0"/>
    <n v="0"/>
  </r>
  <r>
    <s v="Barclays"/>
    <x v="113"/>
    <x v="5"/>
    <n v="8"/>
    <m/>
    <m/>
    <n v="24"/>
    <n v="0"/>
    <x v="0"/>
    <n v="0"/>
    <n v="0"/>
    <n v="1"/>
  </r>
  <r>
    <s v="Progressive Leasing"/>
    <x v="113"/>
    <x v="8"/>
    <n v="0"/>
    <m/>
    <m/>
    <n v="12"/>
    <n v="0"/>
    <x v="0"/>
    <n v="0"/>
    <n v="0"/>
    <n v="0"/>
  </r>
  <r>
    <s v="Acorns"/>
    <x v="9"/>
    <x v="8"/>
    <n v="2"/>
    <m/>
    <m/>
    <n v="14"/>
    <n v="0"/>
    <x v="0"/>
    <n v="0"/>
    <n v="0"/>
    <n v="1"/>
  </r>
  <r>
    <s v="AllianceBernstein LP"/>
    <x v="9"/>
    <x v="8"/>
    <n v="0"/>
    <m/>
    <m/>
    <n v="12"/>
    <n v="0"/>
    <x v="0"/>
    <n v="0"/>
    <n v="0"/>
    <n v="0"/>
  </r>
  <r>
    <s v="American Century Investments"/>
    <x v="9"/>
    <x v="0"/>
    <n v="0"/>
    <m/>
    <m/>
    <n v="6"/>
    <n v="0"/>
    <x v="0"/>
    <n v="0"/>
    <n v="0"/>
    <n v="0"/>
  </r>
  <r>
    <s v="American Endowment Foundation"/>
    <x v="9"/>
    <x v="7"/>
    <n v="12"/>
    <m/>
    <m/>
    <n v="12"/>
    <n v="0"/>
    <x v="1"/>
    <n v="0"/>
    <n v="0"/>
    <n v="1"/>
  </r>
  <r>
    <s v="BNY Mellon"/>
    <x v="9"/>
    <x v="5"/>
    <n v="8"/>
    <m/>
    <m/>
    <n v="24"/>
    <n v="0"/>
    <x v="0"/>
    <n v="0"/>
    <n v="0"/>
    <n v="1"/>
  </r>
  <r>
    <s v="Bridgewater Associates"/>
    <x v="9"/>
    <x v="15"/>
    <n v="29"/>
    <m/>
    <m/>
    <n v="40"/>
    <n v="0"/>
    <x v="0"/>
    <n v="0"/>
    <n v="0"/>
    <n v="1"/>
  </r>
  <r>
    <s v="Cantella &amp; Co., Inc."/>
    <x v="9"/>
    <x v="4"/>
    <n v="0"/>
    <m/>
    <m/>
    <n v="8"/>
    <n v="0"/>
    <x v="0"/>
    <n v="0"/>
    <n v="0"/>
    <n v="0"/>
  </r>
  <r>
    <s v="Citadel"/>
    <x v="9"/>
    <x v="8"/>
    <n v="0"/>
    <m/>
    <m/>
    <n v="12"/>
    <n v="0"/>
    <x v="0"/>
    <n v="0"/>
    <n v="0"/>
    <n v="0"/>
  </r>
  <r>
    <s v="Coller Capital Ltd."/>
    <x v="9"/>
    <x v="0"/>
    <n v="12"/>
    <m/>
    <m/>
    <n v="18"/>
    <n v="0"/>
    <x v="0"/>
    <n v="0"/>
    <n v="0"/>
    <n v="1"/>
  </r>
  <r>
    <s v="DWS"/>
    <x v="9"/>
    <x v="5"/>
    <n v="52"/>
    <m/>
    <m/>
    <n v="68"/>
    <n v="0"/>
    <x v="0"/>
    <n v="0"/>
    <n v="0"/>
    <n v="1"/>
  </r>
  <r>
    <s v="Fisher Investments"/>
    <x v="9"/>
    <x v="4"/>
    <n v="8"/>
    <m/>
    <m/>
    <n v="16"/>
    <n v="0"/>
    <x v="0"/>
    <n v="0"/>
    <n v="0"/>
    <n v="1"/>
  </r>
  <r>
    <s v="Gemini Trust Company"/>
    <x v="9"/>
    <x v="11"/>
    <n v="0"/>
    <m/>
    <m/>
    <n v="18"/>
    <n v="0"/>
    <x v="0"/>
    <n v="0"/>
    <n v="0"/>
    <n v="0"/>
  </r>
  <r>
    <s v="Golub Capital"/>
    <x v="9"/>
    <x v="6"/>
    <n v="0"/>
    <m/>
    <m/>
    <n v="3"/>
    <n v="0"/>
    <x v="0"/>
    <n v="0"/>
    <n v="0"/>
    <n v="0"/>
  </r>
  <r>
    <s v="Invesco"/>
    <x v="9"/>
    <x v="8"/>
    <n v="3"/>
    <m/>
    <m/>
    <n v="15"/>
    <n v="0"/>
    <x v="0"/>
    <n v="0"/>
    <n v="0"/>
    <n v="1"/>
  </r>
  <r>
    <s v="North Star Resource Group"/>
    <x v="9"/>
    <x v="0"/>
    <n v="6"/>
    <m/>
    <m/>
    <n v="12"/>
    <n v="0"/>
    <x v="0"/>
    <n v="0"/>
    <n v="0"/>
    <n v="1"/>
  </r>
  <r>
    <s v="The StepStone Group LP"/>
    <x v="9"/>
    <x v="5"/>
    <n v="4"/>
    <m/>
    <m/>
    <n v="20"/>
    <n v="0"/>
    <x v="0"/>
    <n v="0"/>
    <n v="0"/>
    <n v="1"/>
  </r>
  <r>
    <s v="TIAA"/>
    <x v="9"/>
    <x v="5"/>
    <n v="0"/>
    <m/>
    <m/>
    <n v="16"/>
    <n v="0"/>
    <x v="0"/>
    <n v="0"/>
    <n v="0"/>
    <n v="0"/>
  </r>
  <r>
    <s v="TPG Capital"/>
    <x v="9"/>
    <x v="5"/>
    <n v="0"/>
    <m/>
    <m/>
    <n v="16"/>
    <n v="0"/>
    <x v="0"/>
    <n v="0"/>
    <n v="0"/>
    <n v="0"/>
  </r>
  <r>
    <s v="Trinity Lifetime"/>
    <x v="9"/>
    <x v="33"/>
    <n v="13"/>
    <m/>
    <m/>
    <n v="52"/>
    <n v="0"/>
    <x v="0"/>
    <n v="0"/>
    <n v="0"/>
    <n v="1"/>
  </r>
  <r>
    <s v="Vanguard Group"/>
    <x v="9"/>
    <x v="24"/>
    <n v="0"/>
    <m/>
    <m/>
    <n v="10"/>
    <n v="0"/>
    <x v="0"/>
    <n v="0"/>
    <n v="0"/>
    <n v="0"/>
  </r>
  <r>
    <s v="American Express"/>
    <x v="43"/>
    <x v="23"/>
    <n v="0"/>
    <m/>
    <m/>
    <n v="20"/>
    <n v="0"/>
    <x v="0"/>
    <n v="0"/>
    <n v="0"/>
    <n v="0"/>
  </r>
  <r>
    <s v="American Honda Finance Corp"/>
    <x v="43"/>
    <x v="8"/>
    <n v="5"/>
    <m/>
    <m/>
    <n v="17"/>
    <n v="0"/>
    <x v="0"/>
    <n v="0"/>
    <n v="0"/>
    <n v="1"/>
  </r>
  <r>
    <s v="Navy Federal Credit Union"/>
    <x v="114"/>
    <x v="5"/>
    <n v="0"/>
    <m/>
    <m/>
    <n v="16"/>
    <n v="0"/>
    <x v="0"/>
    <n v="0"/>
    <n v="0"/>
    <n v="0"/>
  </r>
  <r>
    <s v="Achieve"/>
    <x v="44"/>
    <x v="9"/>
    <n v="8"/>
    <m/>
    <m/>
    <n v="12"/>
    <n v="0"/>
    <x v="0"/>
    <n v="0"/>
    <n v="0"/>
    <n v="1"/>
  </r>
  <r>
    <s v="Andrew Davidson &amp; Co"/>
    <x v="44"/>
    <x v="8"/>
    <n v="0"/>
    <m/>
    <m/>
    <n v="12"/>
    <n v="0"/>
    <x v="0"/>
    <n v="0"/>
    <n v="0"/>
    <n v="0"/>
  </r>
  <r>
    <s v="ASB Bank"/>
    <x v="44"/>
    <x v="20"/>
    <n v="26"/>
    <m/>
    <m/>
    <n v="52"/>
    <n v="0"/>
    <x v="0"/>
    <n v="0"/>
    <n v="0"/>
    <n v="1"/>
  </r>
  <r>
    <s v="Bank of America"/>
    <x v="44"/>
    <x v="5"/>
    <n v="4"/>
    <m/>
    <m/>
    <n v="20"/>
    <n v="0"/>
    <x v="0"/>
    <n v="0"/>
    <n v="0"/>
    <n v="1"/>
  </r>
  <r>
    <s v="BB&amp;T Corporation"/>
    <x v="44"/>
    <x v="0"/>
    <n v="2"/>
    <m/>
    <m/>
    <n v="8"/>
    <n v="0"/>
    <x v="0"/>
    <n v="0"/>
    <n v="0"/>
    <n v="1"/>
  </r>
  <r>
    <s v="BBVA"/>
    <x v="44"/>
    <x v="8"/>
    <n v="0"/>
    <m/>
    <m/>
    <n v="12"/>
    <n v="0"/>
    <x v="0"/>
    <n v="0"/>
    <n v="0"/>
    <n v="0"/>
  </r>
  <r>
    <s v="BNP Paribas"/>
    <x v="44"/>
    <x v="5"/>
    <n v="0"/>
    <m/>
    <m/>
    <n v="16"/>
    <n v="0"/>
    <x v="0"/>
    <n v="0"/>
    <n v="0"/>
    <n v="0"/>
  </r>
  <r>
    <s v="Capital One"/>
    <x v="44"/>
    <x v="11"/>
    <n v="0"/>
    <m/>
    <m/>
    <n v="18"/>
    <n v="0"/>
    <x v="0"/>
    <n v="0"/>
    <n v="0"/>
    <n v="0"/>
  </r>
  <r>
    <s v="CAPTRUST"/>
    <x v="44"/>
    <x v="22"/>
    <n v="14"/>
    <m/>
    <m/>
    <n v="16"/>
    <n v="0"/>
    <x v="0"/>
    <n v="0"/>
    <n v="0"/>
    <n v="1"/>
  </r>
  <r>
    <s v="CME Group"/>
    <x v="44"/>
    <x v="8"/>
    <m/>
    <n v="4"/>
    <m/>
    <n v="12"/>
    <n v="4"/>
    <x v="0"/>
    <n v="1"/>
    <n v="0"/>
    <n v="0"/>
  </r>
  <r>
    <s v="Computershare"/>
    <x v="44"/>
    <x v="32"/>
    <n v="3.5"/>
    <m/>
    <m/>
    <n v="10.5"/>
    <n v="0"/>
    <x v="0"/>
    <n v="0"/>
    <n v="0"/>
    <n v="1"/>
  </r>
  <r>
    <s v="Credit Suisse"/>
    <x v="44"/>
    <x v="23"/>
    <n v="2"/>
    <m/>
    <m/>
    <n v="22"/>
    <n v="0"/>
    <x v="0"/>
    <n v="0"/>
    <n v="0"/>
    <n v="1"/>
  </r>
  <r>
    <s v="Digistream Investigations"/>
    <x v="44"/>
    <x v="8"/>
    <n v="12"/>
    <m/>
    <m/>
    <n v="24"/>
    <n v="0"/>
    <x v="0"/>
    <n v="0"/>
    <n v="0"/>
    <n v="1"/>
  </r>
  <r>
    <s v="Edward Jones"/>
    <x v="44"/>
    <x v="5"/>
    <n v="3"/>
    <m/>
    <m/>
    <n v="19"/>
    <n v="0"/>
    <x v="0"/>
    <n v="0"/>
    <n v="0"/>
    <n v="1"/>
  </r>
  <r>
    <s v="Fidelity Investments"/>
    <x v="44"/>
    <x v="12"/>
    <n v="4"/>
    <m/>
    <m/>
    <n v="19"/>
    <n v="0"/>
    <x v="0"/>
    <n v="0"/>
    <n v="0"/>
    <n v="1"/>
  </r>
  <r>
    <s v="First Citizens Bank"/>
    <x v="44"/>
    <x v="9"/>
    <n v="6"/>
    <m/>
    <m/>
    <n v="10"/>
    <n v="0"/>
    <x v="0"/>
    <n v="0"/>
    <n v="0"/>
    <n v="1"/>
  </r>
  <r>
    <s v="Geller &amp; Company"/>
    <x v="44"/>
    <x v="8"/>
    <n v="0"/>
    <m/>
    <m/>
    <n v="12"/>
    <n v="0"/>
    <x v="0"/>
    <n v="0"/>
    <n v="0"/>
    <n v="0"/>
  </r>
  <r>
    <s v="HSBC"/>
    <x v="44"/>
    <x v="36"/>
    <n v="0"/>
    <m/>
    <m/>
    <n v="19"/>
    <n v="0"/>
    <x v="0"/>
    <n v="0"/>
    <n v="0"/>
    <n v="0"/>
  </r>
  <r>
    <s v="JMP Group LLC"/>
    <x v="44"/>
    <x v="8"/>
    <n v="0"/>
    <m/>
    <m/>
    <n v="12"/>
    <n v="0"/>
    <x v="0"/>
    <n v="0"/>
    <n v="0"/>
    <n v="0"/>
  </r>
  <r>
    <s v="JPMorgan Chase"/>
    <x v="44"/>
    <x v="49"/>
    <n v="0"/>
    <m/>
    <m/>
    <n v="12.5"/>
    <n v="0"/>
    <x v="0"/>
    <n v="0"/>
    <n v="0"/>
    <n v="0"/>
  </r>
  <r>
    <s v="Kasasa by BancVue"/>
    <x v="44"/>
    <x v="8"/>
    <n v="0"/>
    <m/>
    <m/>
    <n v="12"/>
    <n v="0"/>
    <x v="0"/>
    <n v="0"/>
    <n v="0"/>
    <n v="0"/>
  </r>
  <r>
    <s v="Lincoln Financial Group"/>
    <x v="44"/>
    <x v="24"/>
    <n v="12"/>
    <m/>
    <m/>
    <n v="22"/>
    <n v="0"/>
    <x v="0"/>
    <n v="0"/>
    <n v="0"/>
    <n v="1"/>
  </r>
  <r>
    <s v="Marsh McLennan"/>
    <x v="44"/>
    <x v="34"/>
    <n v="8.5"/>
    <m/>
    <m/>
    <n v="17"/>
    <n v="0"/>
    <x v="0"/>
    <n v="0"/>
    <n v="0"/>
    <n v="1"/>
  </r>
  <r>
    <s v="Morgan Stanley"/>
    <x v="44"/>
    <x v="5"/>
    <n v="0"/>
    <m/>
    <m/>
    <n v="16"/>
    <n v="0"/>
    <x v="0"/>
    <n v="0"/>
    <n v="0"/>
    <n v="0"/>
  </r>
  <r>
    <s v="Nomura"/>
    <x v="44"/>
    <x v="5"/>
    <m/>
    <n v="2"/>
    <m/>
    <n v="16"/>
    <n v="2"/>
    <x v="0"/>
    <n v="1"/>
    <n v="0"/>
    <n v="0"/>
  </r>
  <r>
    <s v="Scotiabank"/>
    <x v="44"/>
    <x v="2"/>
    <n v="3"/>
    <m/>
    <m/>
    <n v="17"/>
    <n v="0"/>
    <x v="0"/>
    <n v="0"/>
    <n v="0"/>
    <n v="1"/>
  </r>
  <r>
    <s v="Securian Financial Group Inc."/>
    <x v="44"/>
    <x v="8"/>
    <n v="0"/>
    <m/>
    <m/>
    <n v="12"/>
    <n v="0"/>
    <x v="0"/>
    <n v="0"/>
    <n v="0"/>
    <n v="0"/>
  </r>
  <r>
    <s v="Standard Chartered"/>
    <x v="44"/>
    <x v="23"/>
    <m/>
    <n v="2"/>
    <m/>
    <n v="20"/>
    <n v="2"/>
    <x v="0"/>
    <n v="1"/>
    <n v="0"/>
    <n v="0"/>
  </r>
  <r>
    <s v="State Street Corporation"/>
    <x v="44"/>
    <x v="4"/>
    <n v="2"/>
    <m/>
    <m/>
    <n v="10"/>
    <n v="0"/>
    <x v="0"/>
    <n v="0"/>
    <n v="0"/>
    <n v="1"/>
  </r>
  <r>
    <s v="Stifel Nicolaus &amp; Co."/>
    <x v="44"/>
    <x v="5"/>
    <m/>
    <n v="8"/>
    <m/>
    <n v="16"/>
    <n v="8"/>
    <x v="0"/>
    <n v="1"/>
    <n v="0"/>
    <n v="0"/>
  </r>
  <r>
    <s v="USAA"/>
    <x v="44"/>
    <x v="8"/>
    <n v="2"/>
    <m/>
    <m/>
    <n v="14"/>
    <n v="0"/>
    <x v="0"/>
    <n v="0"/>
    <n v="0"/>
    <n v="1"/>
  </r>
  <r>
    <s v="Northwestern Mutual Ð Corporate Careers"/>
    <x v="115"/>
    <x v="8"/>
    <n v="1"/>
    <m/>
    <m/>
    <n v="13"/>
    <n v="0"/>
    <x v="0"/>
    <n v="0"/>
    <n v="0"/>
    <n v="1"/>
  </r>
  <r>
    <s v="Better Mortgage"/>
    <x v="45"/>
    <x v="50"/>
    <n v="13"/>
    <m/>
    <m/>
    <n v="29.5"/>
    <n v="0"/>
    <x v="0"/>
    <n v="0"/>
    <n v="0"/>
    <n v="1"/>
  </r>
  <r>
    <s v="OneMain Financial"/>
    <x v="45"/>
    <x v="4"/>
    <n v="0"/>
    <m/>
    <m/>
    <n v="8"/>
    <n v="0"/>
    <x v="0"/>
    <n v="0"/>
    <n v="0"/>
    <n v="0"/>
  </r>
  <r>
    <s v="Quicken Loans Inc."/>
    <x v="45"/>
    <x v="0"/>
    <n v="1.5"/>
    <m/>
    <m/>
    <n v="7.5"/>
    <n v="0"/>
    <x v="0"/>
    <n v="0"/>
    <n v="0"/>
    <n v="1"/>
  </r>
  <r>
    <s v="Veterans United Home Loans"/>
    <x v="45"/>
    <x v="4"/>
    <n v="0"/>
    <m/>
    <m/>
    <n v="8"/>
    <n v="0"/>
    <x v="0"/>
    <n v="0"/>
    <n v="0"/>
    <n v="0"/>
  </r>
  <r>
    <s v="ANZ"/>
    <x v="46"/>
    <x v="8"/>
    <n v="52"/>
    <m/>
    <m/>
    <n v="64"/>
    <n v="0"/>
    <x v="0"/>
    <n v="0"/>
    <n v="0"/>
    <n v="1"/>
  </r>
  <r>
    <s v="Bank of the West"/>
    <x v="46"/>
    <x v="5"/>
    <n v="12"/>
    <m/>
    <m/>
    <n v="28"/>
    <n v="0"/>
    <x v="0"/>
    <n v="0"/>
    <n v="0"/>
    <n v="1"/>
  </r>
  <r>
    <s v="BMO Harris Bank"/>
    <x v="46"/>
    <x v="8"/>
    <n v="12"/>
    <m/>
    <m/>
    <n v="24"/>
    <n v="0"/>
    <x v="0"/>
    <n v="0"/>
    <n v="0"/>
    <n v="1"/>
  </r>
  <r>
    <s v="CIT"/>
    <x v="46"/>
    <x v="23"/>
    <n v="8"/>
    <m/>
    <m/>
    <n v="28"/>
    <n v="0"/>
    <x v="0"/>
    <n v="0"/>
    <n v="0"/>
    <n v="1"/>
  </r>
  <r>
    <s v="Citizens Bank"/>
    <x v="46"/>
    <x v="8"/>
    <n v="0"/>
    <m/>
    <m/>
    <n v="12"/>
    <n v="0"/>
    <x v="0"/>
    <n v="0"/>
    <n v="0"/>
    <n v="0"/>
  </r>
  <r>
    <s v="Commonwealth Bank of Australia"/>
    <x v="46"/>
    <x v="8"/>
    <n v="52"/>
    <m/>
    <m/>
    <n v="64"/>
    <n v="0"/>
    <x v="0"/>
    <n v="0"/>
    <n v="0"/>
    <n v="1"/>
  </r>
  <r>
    <s v="Federal Home Loan Bank Of New York"/>
    <x v="46"/>
    <x v="8"/>
    <n v="0"/>
    <m/>
    <m/>
    <n v="12"/>
    <n v="0"/>
    <x v="0"/>
    <n v="0"/>
    <n v="0"/>
    <n v="0"/>
  </r>
  <r>
    <s v="Fifth Third Bank"/>
    <x v="46"/>
    <x v="13"/>
    <n v="6"/>
    <m/>
    <m/>
    <n v="15"/>
    <n v="0"/>
    <x v="0"/>
    <n v="0"/>
    <n v="0"/>
    <n v="1"/>
  </r>
  <r>
    <s v="First Republic Bank"/>
    <x v="46"/>
    <x v="8"/>
    <n v="0"/>
    <m/>
    <m/>
    <n v="12"/>
    <n v="0"/>
    <x v="0"/>
    <n v="0"/>
    <n v="0"/>
    <n v="0"/>
  </r>
  <r>
    <s v="Huntington Bank"/>
    <x v="46"/>
    <x v="9"/>
    <n v="8"/>
    <m/>
    <m/>
    <n v="12"/>
    <n v="0"/>
    <x v="0"/>
    <n v="0"/>
    <n v="0"/>
    <n v="1"/>
  </r>
  <r>
    <s v="KeyBank"/>
    <x v="46"/>
    <x v="8"/>
    <n v="6"/>
    <m/>
    <m/>
    <n v="18"/>
    <n v="0"/>
    <x v="0"/>
    <n v="0"/>
    <n v="0"/>
    <n v="1"/>
  </r>
  <r>
    <s v="M&amp;T Bank Corporation"/>
    <x v="46"/>
    <x v="8"/>
    <n v="12"/>
    <m/>
    <m/>
    <n v="24"/>
    <n v="0"/>
    <x v="0"/>
    <n v="0"/>
    <n v="0"/>
    <n v="1"/>
  </r>
  <r>
    <s v="Santander US"/>
    <x v="46"/>
    <x v="0"/>
    <n v="6"/>
    <m/>
    <m/>
    <n v="12"/>
    <n v="0"/>
    <x v="0"/>
    <n v="0"/>
    <n v="0"/>
    <n v="1"/>
  </r>
  <r>
    <s v="SociŽtŽ GŽnŽrale"/>
    <x v="46"/>
    <x v="8"/>
    <n v="0"/>
    <m/>
    <m/>
    <n v="12"/>
    <n v="0"/>
    <x v="0"/>
    <n v="0"/>
    <n v="0"/>
    <n v="0"/>
  </r>
  <r>
    <s v="Stanbic IBTC Bank"/>
    <x v="46"/>
    <x v="8"/>
    <n v="4"/>
    <m/>
    <m/>
    <n v="16"/>
    <n v="0"/>
    <x v="0"/>
    <n v="0"/>
    <n v="0"/>
    <n v="1"/>
  </r>
  <r>
    <s v="SunTrust Banks"/>
    <x v="46"/>
    <x v="5"/>
    <n v="4"/>
    <m/>
    <m/>
    <n v="20"/>
    <n v="0"/>
    <x v="0"/>
    <n v="0"/>
    <n v="0"/>
    <n v="1"/>
  </r>
  <r>
    <s v="U.S. Bank"/>
    <x v="46"/>
    <x v="35"/>
    <n v="0"/>
    <m/>
    <m/>
    <n v="13"/>
    <n v="0"/>
    <x v="0"/>
    <n v="0"/>
    <n v="0"/>
    <n v="0"/>
  </r>
  <r>
    <s v="Union Bank"/>
    <x v="46"/>
    <x v="21"/>
    <n v="8"/>
    <m/>
    <m/>
    <n v="29"/>
    <n v="0"/>
    <x v="0"/>
    <n v="0"/>
    <n v="0"/>
    <n v="1"/>
  </r>
  <r>
    <s v="Vanquis Bank"/>
    <x v="46"/>
    <x v="23"/>
    <n v="26"/>
    <m/>
    <m/>
    <n v="46"/>
    <n v="0"/>
    <x v="0"/>
    <n v="0"/>
    <n v="0"/>
    <n v="1"/>
  </r>
  <r>
    <s v="Wintrust Financial Corporation"/>
    <x v="46"/>
    <x v="24"/>
    <n v="2"/>
    <m/>
    <m/>
    <n v="12"/>
    <n v="0"/>
    <x v="0"/>
    <n v="0"/>
    <n v="0"/>
    <n v="1"/>
  </r>
  <r>
    <s v="Adams Street Partners, LLC"/>
    <x v="116"/>
    <x v="8"/>
    <n v="2"/>
    <m/>
    <m/>
    <n v="14"/>
    <n v="0"/>
    <x v="0"/>
    <n v="0"/>
    <n v="0"/>
    <n v="1"/>
  </r>
  <r>
    <s v="Guggenheim Partners, LLC"/>
    <x v="116"/>
    <x v="11"/>
    <m/>
    <n v="18"/>
    <m/>
    <n v="18"/>
    <n v="18"/>
    <x v="0"/>
    <n v="1"/>
    <n v="0"/>
    <n v="0"/>
  </r>
  <r>
    <s v="City of Virginia Beach"/>
    <x v="117"/>
    <x v="0"/>
    <n v="0"/>
    <m/>
    <m/>
    <n v="6"/>
    <n v="0"/>
    <x v="0"/>
    <n v="0"/>
    <n v="0"/>
    <n v="0"/>
  </r>
  <r>
    <s v="New York City"/>
    <x v="117"/>
    <x v="8"/>
    <n v="4"/>
    <m/>
    <m/>
    <n v="16"/>
    <n v="0"/>
    <x v="0"/>
    <n v="0"/>
    <n v="0"/>
    <n v="1"/>
  </r>
  <r>
    <s v="New York City Economic Development Corporation"/>
    <x v="117"/>
    <x v="0"/>
    <n v="1"/>
    <m/>
    <m/>
    <n v="7"/>
    <n v="0"/>
    <x v="0"/>
    <n v="0"/>
    <n v="0"/>
    <n v="1"/>
  </r>
  <r>
    <s v="The City of Portland"/>
    <x v="117"/>
    <x v="0"/>
    <n v="6"/>
    <m/>
    <m/>
    <n v="12"/>
    <n v="0"/>
    <x v="0"/>
    <n v="0"/>
    <n v="0"/>
    <n v="1"/>
  </r>
  <r>
    <s v="The City of San Antonio"/>
    <x v="117"/>
    <x v="0"/>
    <n v="6"/>
    <m/>
    <m/>
    <n v="12"/>
    <n v="0"/>
    <x v="0"/>
    <n v="0"/>
    <n v="0"/>
    <n v="1"/>
  </r>
  <r>
    <s v="Peraton"/>
    <x v="10"/>
    <x v="51"/>
    <n v="12"/>
    <m/>
    <m/>
    <n v="13.5"/>
    <n v="0"/>
    <x v="0"/>
    <n v="0"/>
    <n v="0"/>
    <n v="1"/>
  </r>
  <r>
    <s v="Marion County Sheriff's Office"/>
    <x v="11"/>
    <x v="35"/>
    <n v="20"/>
    <m/>
    <m/>
    <n v="33"/>
    <n v="0"/>
    <x v="0"/>
    <n v="0"/>
    <n v="0"/>
    <n v="1"/>
  </r>
  <r>
    <s v="Multnomah County, Oregon"/>
    <x v="11"/>
    <x v="8"/>
    <n v="0"/>
    <m/>
    <m/>
    <n v="12"/>
    <n v="0"/>
    <x v="0"/>
    <n v="0"/>
    <n v="0"/>
    <n v="0"/>
  </r>
  <r>
    <s v="Spokane County"/>
    <x v="11"/>
    <x v="45"/>
    <n v="26"/>
    <m/>
    <m/>
    <n v="78"/>
    <n v="0"/>
    <x v="0"/>
    <n v="0"/>
    <n v="0"/>
    <n v="1"/>
  </r>
  <r>
    <s v="Corporation for National and Community Service"/>
    <x v="12"/>
    <x v="7"/>
    <n v="0"/>
    <m/>
    <m/>
    <n v="0"/>
    <n v="0"/>
    <x v="1"/>
    <n v="0"/>
    <n v="0"/>
    <n v="0"/>
  </r>
  <r>
    <s v="Federal Deposit Insurance Corporation"/>
    <x v="12"/>
    <x v="8"/>
    <n v="12"/>
    <m/>
    <m/>
    <n v="24"/>
    <n v="0"/>
    <x v="0"/>
    <n v="0"/>
    <n v="0"/>
    <n v="1"/>
  </r>
  <r>
    <s v="Federal Public Defender"/>
    <x v="12"/>
    <x v="8"/>
    <n v="0"/>
    <m/>
    <m/>
    <n v="12"/>
    <n v="0"/>
    <x v="0"/>
    <n v="0"/>
    <n v="0"/>
    <n v="0"/>
  </r>
  <r>
    <s v="Federal Reserve Bank of New York"/>
    <x v="12"/>
    <x v="4"/>
    <n v="8"/>
    <m/>
    <m/>
    <n v="16"/>
    <n v="0"/>
    <x v="0"/>
    <n v="0"/>
    <n v="0"/>
    <n v="1"/>
  </r>
  <r>
    <s v="Los Alamos National Laboratory"/>
    <x v="12"/>
    <x v="6"/>
    <n v="12"/>
    <m/>
    <m/>
    <n v="15"/>
    <n v="0"/>
    <x v="0"/>
    <n v="0"/>
    <n v="0"/>
    <n v="1"/>
  </r>
  <r>
    <s v="NASA Jet Propulsion Laboratory"/>
    <x v="12"/>
    <x v="8"/>
    <n v="0"/>
    <m/>
    <m/>
    <n v="12"/>
    <n v="0"/>
    <x v="0"/>
    <n v="0"/>
    <n v="0"/>
    <n v="0"/>
  </r>
  <r>
    <s v="Naval Medical Center Portsmouth"/>
    <x v="12"/>
    <x v="52"/>
    <n v="0"/>
    <m/>
    <m/>
    <n v="46"/>
    <n v="0"/>
    <x v="0"/>
    <n v="0"/>
    <n v="0"/>
    <n v="0"/>
  </r>
  <r>
    <s v="NavSea"/>
    <x v="12"/>
    <x v="15"/>
    <n v="6"/>
    <m/>
    <m/>
    <n v="17"/>
    <n v="0"/>
    <x v="0"/>
    <n v="0"/>
    <n v="0"/>
    <n v="1"/>
  </r>
  <r>
    <s v="NSA"/>
    <x v="12"/>
    <x v="4"/>
    <n v="6.5"/>
    <m/>
    <m/>
    <n v="14.5"/>
    <n v="0"/>
    <x v="0"/>
    <n v="0"/>
    <n v="0"/>
    <n v="1"/>
  </r>
  <r>
    <s v="The United States Air Force"/>
    <x v="12"/>
    <x v="8"/>
    <n v="0"/>
    <m/>
    <m/>
    <n v="12"/>
    <n v="0"/>
    <x v="0"/>
    <n v="0"/>
    <n v="0"/>
    <n v="0"/>
  </r>
  <r>
    <s v="U.S. Department of Education"/>
    <x v="12"/>
    <x v="7"/>
    <n v="12"/>
    <m/>
    <m/>
    <n v="12"/>
    <n v="0"/>
    <x v="1"/>
    <n v="0"/>
    <n v="0"/>
    <n v="1"/>
  </r>
  <r>
    <s v="U.S. Department of Veterans Affairs"/>
    <x v="12"/>
    <x v="15"/>
    <n v="11"/>
    <m/>
    <m/>
    <n v="22"/>
    <n v="0"/>
    <x v="0"/>
    <n v="0"/>
    <n v="0"/>
    <n v="1"/>
  </r>
  <r>
    <s v="U.S. Social Security Administration"/>
    <x v="12"/>
    <x v="0"/>
    <n v="12"/>
    <m/>
    <m/>
    <n v="18"/>
    <n v="0"/>
    <x v="0"/>
    <n v="0"/>
    <n v="0"/>
    <n v="1"/>
  </r>
  <r>
    <s v="United States Army"/>
    <x v="12"/>
    <x v="0"/>
    <n v="0"/>
    <m/>
    <m/>
    <n v="6"/>
    <n v="0"/>
    <x v="0"/>
    <n v="0"/>
    <n v="0"/>
    <n v="0"/>
  </r>
  <r>
    <s v="United States Department of State"/>
    <x v="12"/>
    <x v="13"/>
    <n v="15"/>
    <m/>
    <m/>
    <n v="24"/>
    <n v="0"/>
    <x v="0"/>
    <n v="0"/>
    <n v="0"/>
    <n v="1"/>
  </r>
  <r>
    <s v="United States Trade and Development Agency"/>
    <x v="12"/>
    <x v="8"/>
    <n v="0"/>
    <m/>
    <m/>
    <n v="12"/>
    <n v="0"/>
    <x v="0"/>
    <n v="0"/>
    <n v="0"/>
    <n v="0"/>
  </r>
  <r>
    <s v="USAID"/>
    <x v="12"/>
    <x v="0"/>
    <n v="0"/>
    <m/>
    <m/>
    <n v="6"/>
    <n v="0"/>
    <x v="0"/>
    <n v="0"/>
    <n v="0"/>
    <n v="0"/>
  </r>
  <r>
    <s v="United Nations"/>
    <x v="47"/>
    <x v="9"/>
    <n v="0"/>
    <m/>
    <m/>
    <n v="4"/>
    <n v="0"/>
    <x v="0"/>
    <n v="0"/>
    <n v="0"/>
    <n v="0"/>
  </r>
  <r>
    <s v="World Health Organization"/>
    <x v="47"/>
    <x v="14"/>
    <n v="52"/>
    <m/>
    <m/>
    <n v="76"/>
    <n v="0"/>
    <x v="0"/>
    <n v="0"/>
    <n v="0"/>
    <n v="1"/>
  </r>
  <r>
    <s v="Commonwealth of Massachusetts"/>
    <x v="118"/>
    <x v="22"/>
    <n v="24"/>
    <m/>
    <m/>
    <n v="26"/>
    <n v="0"/>
    <x v="0"/>
    <n v="0"/>
    <n v="0"/>
    <n v="1"/>
  </r>
  <r>
    <s v="DBPR"/>
    <x v="118"/>
    <x v="8"/>
    <n v="0"/>
    <m/>
    <m/>
    <n v="12"/>
    <n v="0"/>
    <x v="0"/>
    <n v="0"/>
    <n v="0"/>
    <n v="0"/>
  </r>
  <r>
    <s v="State of North Carolina"/>
    <x v="118"/>
    <x v="8"/>
    <n v="0"/>
    <m/>
    <m/>
    <n v="12"/>
    <n v="0"/>
    <x v="0"/>
    <n v="0"/>
    <n v="0"/>
    <n v="0"/>
  </r>
  <r>
    <s v="Companion Animal Hospital Partners"/>
    <x v="48"/>
    <x v="0"/>
    <n v="6"/>
    <m/>
    <m/>
    <n v="12"/>
    <n v="0"/>
    <x v="0"/>
    <n v="0"/>
    <n v="0"/>
    <n v="1"/>
  </r>
  <r>
    <s v="Veterinary Emergency Group"/>
    <x v="48"/>
    <x v="0"/>
    <n v="6"/>
    <m/>
    <m/>
    <n v="12"/>
    <n v="0"/>
    <x v="0"/>
    <n v="0"/>
    <n v="0"/>
    <n v="1"/>
  </r>
  <r>
    <s v="Zoetis"/>
    <x v="48"/>
    <x v="22"/>
    <n v="0"/>
    <m/>
    <m/>
    <n v="2"/>
    <n v="0"/>
    <x v="0"/>
    <n v="0"/>
    <n v="0"/>
    <n v="0"/>
  </r>
  <r>
    <s v="Beacon Health Options"/>
    <x v="119"/>
    <x v="9"/>
    <n v="6"/>
    <m/>
    <m/>
    <n v="10"/>
    <n v="0"/>
    <x v="0"/>
    <n v="0"/>
    <n v="0"/>
    <n v="1"/>
  </r>
  <r>
    <s v="Ambry Genetics"/>
    <x v="49"/>
    <x v="0"/>
    <n v="0"/>
    <m/>
    <m/>
    <n v="6"/>
    <n v="0"/>
    <x v="0"/>
    <n v="0"/>
    <n v="0"/>
    <n v="0"/>
  </r>
  <r>
    <s v="Biogen"/>
    <x v="49"/>
    <x v="8"/>
    <n v="6"/>
    <m/>
    <m/>
    <n v="18"/>
    <n v="0"/>
    <x v="0"/>
    <n v="0"/>
    <n v="0"/>
    <n v="1"/>
  </r>
  <r>
    <s v="bioMerieux"/>
    <x v="49"/>
    <x v="8"/>
    <n v="0"/>
    <m/>
    <m/>
    <n v="12"/>
    <n v="0"/>
    <x v="0"/>
    <n v="0"/>
    <n v="0"/>
    <n v="0"/>
  </r>
  <r>
    <s v="Bolt Threads"/>
    <x v="49"/>
    <x v="8"/>
    <n v="0"/>
    <m/>
    <m/>
    <n v="12"/>
    <n v="0"/>
    <x v="0"/>
    <n v="0"/>
    <n v="0"/>
    <n v="0"/>
  </r>
  <r>
    <s v="Charles River Laboratories"/>
    <x v="49"/>
    <x v="13"/>
    <n v="3"/>
    <m/>
    <m/>
    <n v="12"/>
    <n v="0"/>
    <x v="0"/>
    <n v="0"/>
    <n v="0"/>
    <n v="1"/>
  </r>
  <r>
    <s v="Genentech"/>
    <x v="49"/>
    <x v="8"/>
    <n v="0"/>
    <m/>
    <m/>
    <n v="12"/>
    <n v="0"/>
    <x v="0"/>
    <n v="0"/>
    <n v="0"/>
    <n v="0"/>
  </r>
  <r>
    <s v="Gilead Sciences, Inc."/>
    <x v="49"/>
    <x v="8"/>
    <n v="6"/>
    <m/>
    <m/>
    <n v="18"/>
    <n v="0"/>
    <x v="0"/>
    <n v="0"/>
    <n v="0"/>
    <n v="1"/>
  </r>
  <r>
    <s v="Idexx Laboratories"/>
    <x v="49"/>
    <x v="8"/>
    <n v="8"/>
    <m/>
    <m/>
    <n v="20"/>
    <n v="0"/>
    <x v="0"/>
    <n v="0"/>
    <n v="0"/>
    <n v="1"/>
  </r>
  <r>
    <s v="NanoString Technologies"/>
    <x v="49"/>
    <x v="8"/>
    <n v="0"/>
    <m/>
    <m/>
    <n v="12"/>
    <n v="0"/>
    <x v="0"/>
    <n v="0"/>
    <n v="0"/>
    <n v="0"/>
  </r>
  <r>
    <s v="Nova Biomedical"/>
    <x v="49"/>
    <x v="0"/>
    <n v="6"/>
    <m/>
    <m/>
    <n v="12"/>
    <n v="0"/>
    <x v="0"/>
    <n v="0"/>
    <n v="0"/>
    <n v="1"/>
  </r>
  <r>
    <s v="Novozymes"/>
    <x v="49"/>
    <x v="37"/>
    <n v="0"/>
    <m/>
    <m/>
    <n v="17"/>
    <n v="0"/>
    <x v="0"/>
    <n v="0"/>
    <n v="0"/>
    <n v="0"/>
  </r>
  <r>
    <s v="Promega Corporation"/>
    <x v="49"/>
    <x v="9"/>
    <n v="0"/>
    <m/>
    <m/>
    <n v="4"/>
    <n v="0"/>
    <x v="0"/>
    <n v="0"/>
    <n v="0"/>
    <n v="0"/>
  </r>
  <r>
    <s v="SCIEX"/>
    <x v="49"/>
    <x v="12"/>
    <n v="26"/>
    <m/>
    <m/>
    <n v="41"/>
    <n v="0"/>
    <x v="0"/>
    <n v="0"/>
    <n v="0"/>
    <n v="1"/>
  </r>
  <r>
    <s v="Bupa"/>
    <x v="13"/>
    <x v="2"/>
    <n v="36"/>
    <m/>
    <m/>
    <n v="50"/>
    <n v="0"/>
    <x v="0"/>
    <n v="0"/>
    <n v="0"/>
    <n v="1"/>
  </r>
  <r>
    <s v="Call9"/>
    <x v="13"/>
    <x v="4"/>
    <n v="4"/>
    <m/>
    <m/>
    <n v="12"/>
    <n v="0"/>
    <x v="0"/>
    <n v="0"/>
    <n v="0"/>
    <n v="1"/>
  </r>
  <r>
    <s v="Saint Francis Medical Center"/>
    <x v="13"/>
    <x v="0"/>
    <n v="0"/>
    <m/>
    <m/>
    <n v="6"/>
    <n v="0"/>
    <x v="0"/>
    <n v="0"/>
    <n v="0"/>
    <n v="0"/>
  </r>
  <r>
    <s v="BAYADA"/>
    <x v="120"/>
    <x v="7"/>
    <m/>
    <n v="0"/>
    <m/>
    <n v="0"/>
    <n v="0"/>
    <x v="1"/>
    <n v="0"/>
    <n v="0"/>
    <n v="0"/>
  </r>
  <r>
    <s v="Inspire Wellness"/>
    <x v="120"/>
    <x v="8"/>
    <n v="6"/>
    <m/>
    <m/>
    <n v="18"/>
    <n v="0"/>
    <x v="0"/>
    <n v="0"/>
    <n v="0"/>
    <n v="1"/>
  </r>
  <r>
    <s v="Landmark Health"/>
    <x v="120"/>
    <x v="9"/>
    <n v="8"/>
    <m/>
    <m/>
    <n v="12"/>
    <n v="0"/>
    <x v="0"/>
    <n v="0"/>
    <n v="0"/>
    <n v="1"/>
  </r>
  <r>
    <s v="Southwest Idaho Treatment Center"/>
    <x v="120"/>
    <x v="8"/>
    <n v="0"/>
    <m/>
    <m/>
    <n v="12"/>
    <n v="0"/>
    <x v="0"/>
    <n v="0"/>
    <n v="0"/>
    <n v="0"/>
  </r>
  <r>
    <s v="Ascension Health"/>
    <x v="14"/>
    <x v="4"/>
    <n v="0"/>
    <m/>
    <m/>
    <n v="8"/>
    <n v="0"/>
    <x v="0"/>
    <n v="0"/>
    <n v="0"/>
    <n v="0"/>
  </r>
  <r>
    <s v="Baptist Health System"/>
    <x v="14"/>
    <x v="8"/>
    <n v="0"/>
    <m/>
    <m/>
    <n v="12"/>
    <n v="0"/>
    <x v="0"/>
    <n v="0"/>
    <n v="0"/>
    <n v="0"/>
  </r>
  <r>
    <s v="Bon Secours Mercy Health"/>
    <x v="14"/>
    <x v="4"/>
    <n v="8"/>
    <m/>
    <m/>
    <n v="16"/>
    <n v="0"/>
    <x v="0"/>
    <n v="0"/>
    <n v="0"/>
    <n v="1"/>
  </r>
  <r>
    <s v="Central Maine Medical Center"/>
    <x v="14"/>
    <x v="8"/>
    <n v="0"/>
    <m/>
    <m/>
    <n v="12"/>
    <n v="0"/>
    <x v="0"/>
    <n v="0"/>
    <n v="0"/>
    <n v="0"/>
  </r>
  <r>
    <s v="Children's Hospital of Pittsburgh of UPMC"/>
    <x v="14"/>
    <x v="22"/>
    <n v="10"/>
    <m/>
    <m/>
    <n v="12"/>
    <n v="0"/>
    <x v="0"/>
    <n v="0"/>
    <n v="0"/>
    <n v="1"/>
  </r>
  <r>
    <s v="Children's Wisconsin"/>
    <x v="14"/>
    <x v="7"/>
    <n v="12"/>
    <m/>
    <m/>
    <n v="12"/>
    <n v="0"/>
    <x v="1"/>
    <n v="0"/>
    <n v="0"/>
    <n v="1"/>
  </r>
  <r>
    <s v="Christiana Care Health System"/>
    <x v="14"/>
    <x v="0"/>
    <n v="6"/>
    <m/>
    <m/>
    <n v="12"/>
    <n v="0"/>
    <x v="0"/>
    <n v="0"/>
    <n v="0"/>
    <n v="1"/>
  </r>
  <r>
    <s v="Cincinnati Children's Hospital Medical Center"/>
    <x v="14"/>
    <x v="8"/>
    <n v="0"/>
    <m/>
    <m/>
    <n v="12"/>
    <n v="0"/>
    <x v="0"/>
    <n v="0"/>
    <n v="0"/>
    <n v="0"/>
  </r>
  <r>
    <s v="Duke Health"/>
    <x v="14"/>
    <x v="0"/>
    <n v="6"/>
    <m/>
    <m/>
    <n v="12"/>
    <n v="0"/>
    <x v="0"/>
    <n v="0"/>
    <n v="0"/>
    <n v="1"/>
  </r>
  <r>
    <s v="Everett Clinic"/>
    <x v="14"/>
    <x v="8"/>
    <n v="0"/>
    <m/>
    <m/>
    <n v="12"/>
    <n v="0"/>
    <x v="0"/>
    <n v="0"/>
    <n v="0"/>
    <n v="0"/>
  </r>
  <r>
    <s v="Houston Methodist Hospital"/>
    <x v="14"/>
    <x v="0"/>
    <n v="6"/>
    <m/>
    <m/>
    <n v="12"/>
    <n v="0"/>
    <x v="0"/>
    <n v="0"/>
    <n v="0"/>
    <n v="1"/>
  </r>
  <r>
    <s v="Johns Hopkins All Children's Hospital"/>
    <x v="14"/>
    <x v="4"/>
    <n v="0"/>
    <m/>
    <m/>
    <n v="8"/>
    <n v="0"/>
    <x v="0"/>
    <n v="0"/>
    <n v="0"/>
    <n v="0"/>
  </r>
  <r>
    <s v="Lovelace Health System"/>
    <x v="14"/>
    <x v="7"/>
    <n v="6"/>
    <m/>
    <m/>
    <n v="6"/>
    <n v="0"/>
    <x v="1"/>
    <n v="0"/>
    <n v="0"/>
    <n v="1"/>
  </r>
  <r>
    <s v="Mercy"/>
    <x v="14"/>
    <x v="9"/>
    <n v="1"/>
    <m/>
    <m/>
    <n v="5"/>
    <n v="0"/>
    <x v="0"/>
    <n v="0"/>
    <n v="0"/>
    <n v="1"/>
  </r>
  <r>
    <s v="MetroHealth Medical Center"/>
    <x v="14"/>
    <x v="8"/>
    <n v="0"/>
    <m/>
    <m/>
    <n v="12"/>
    <n v="0"/>
    <x v="0"/>
    <n v="0"/>
    <n v="0"/>
    <n v="0"/>
  </r>
  <r>
    <s v="Michigan Medicine"/>
    <x v="14"/>
    <x v="0"/>
    <n v="0"/>
    <m/>
    <m/>
    <n v="6"/>
    <n v="0"/>
    <x v="0"/>
    <n v="0"/>
    <n v="0"/>
    <n v="0"/>
  </r>
  <r>
    <s v="Molina Healthcare"/>
    <x v="14"/>
    <x v="0"/>
    <n v="0"/>
    <m/>
    <m/>
    <n v="6"/>
    <n v="0"/>
    <x v="0"/>
    <n v="0"/>
    <n v="0"/>
    <n v="0"/>
  </r>
  <r>
    <s v="Montefiore Medical Center"/>
    <x v="14"/>
    <x v="7"/>
    <m/>
    <n v="0"/>
    <m/>
    <n v="0"/>
    <n v="0"/>
    <x v="1"/>
    <n v="0"/>
    <n v="0"/>
    <n v="0"/>
  </r>
  <r>
    <s v="Moses Cone"/>
    <x v="14"/>
    <x v="7"/>
    <m/>
    <m/>
    <n v="0"/>
    <n v="0"/>
    <n v="0"/>
    <x v="1"/>
    <n v="0"/>
    <n v="0"/>
    <n v="0"/>
  </r>
  <r>
    <s v="New Century Health"/>
    <x v="14"/>
    <x v="8"/>
    <n v="0"/>
    <m/>
    <m/>
    <n v="12"/>
    <n v="0"/>
    <x v="0"/>
    <n v="0"/>
    <n v="0"/>
    <n v="0"/>
  </r>
  <r>
    <s v="New York State Psychiatric Institute"/>
    <x v="14"/>
    <x v="8"/>
    <n v="0"/>
    <m/>
    <m/>
    <n v="12"/>
    <n v="0"/>
    <x v="0"/>
    <n v="0"/>
    <n v="0"/>
    <n v="0"/>
  </r>
  <r>
    <s v="Northwell Health"/>
    <x v="14"/>
    <x v="7"/>
    <n v="12"/>
    <m/>
    <m/>
    <n v="12"/>
    <n v="0"/>
    <x v="1"/>
    <n v="0"/>
    <n v="0"/>
    <n v="1"/>
  </r>
  <r>
    <s v="NYU Langone Health"/>
    <x v="14"/>
    <x v="18"/>
    <n v="6"/>
    <m/>
    <m/>
    <n v="15.5"/>
    <n v="0"/>
    <x v="0"/>
    <n v="0"/>
    <n v="0"/>
    <n v="1"/>
  </r>
  <r>
    <s v="Partners Healthcare"/>
    <x v="14"/>
    <x v="4"/>
    <n v="4"/>
    <m/>
    <m/>
    <n v="12"/>
    <n v="0"/>
    <x v="0"/>
    <n v="0"/>
    <n v="0"/>
    <n v="1"/>
  </r>
  <r>
    <s v="Penn Medicine"/>
    <x v="14"/>
    <x v="0"/>
    <n v="6"/>
    <m/>
    <m/>
    <n v="12"/>
    <n v="0"/>
    <x v="0"/>
    <n v="0"/>
    <n v="0"/>
    <n v="1"/>
  </r>
  <r>
    <s v="Providence"/>
    <x v="14"/>
    <x v="4"/>
    <n v="12"/>
    <m/>
    <m/>
    <n v="20"/>
    <n v="0"/>
    <x v="0"/>
    <n v="0"/>
    <n v="0"/>
    <n v="1"/>
  </r>
  <r>
    <s v="Temple University Hospital"/>
    <x v="14"/>
    <x v="7"/>
    <n v="12"/>
    <m/>
    <m/>
    <n v="12"/>
    <n v="0"/>
    <x v="1"/>
    <n v="0"/>
    <n v="0"/>
    <n v="1"/>
  </r>
  <r>
    <s v="Texas Children's Hospital"/>
    <x v="14"/>
    <x v="7"/>
    <n v="0"/>
    <m/>
    <m/>
    <n v="0"/>
    <n v="0"/>
    <x v="1"/>
    <n v="0"/>
    <n v="0"/>
    <n v="0"/>
  </r>
  <r>
    <s v="LabCorp"/>
    <x v="50"/>
    <x v="0"/>
    <n v="12"/>
    <m/>
    <m/>
    <n v="18"/>
    <n v="0"/>
    <x v="0"/>
    <n v="0"/>
    <n v="0"/>
    <n v="1"/>
  </r>
  <r>
    <s v="Aeroflow Healthcare"/>
    <x v="51"/>
    <x v="0"/>
    <n v="4"/>
    <m/>
    <m/>
    <n v="10"/>
    <n v="0"/>
    <x v="0"/>
    <n v="0"/>
    <n v="0"/>
    <n v="1"/>
  </r>
  <r>
    <s v="Aquilant"/>
    <x v="51"/>
    <x v="33"/>
    <n v="13"/>
    <m/>
    <m/>
    <n v="52"/>
    <n v="0"/>
    <x v="0"/>
    <n v="0"/>
    <n v="0"/>
    <n v="1"/>
  </r>
  <r>
    <s v="BD"/>
    <x v="51"/>
    <x v="8"/>
    <n v="4"/>
    <m/>
    <m/>
    <n v="16"/>
    <n v="0"/>
    <x v="0"/>
    <n v="0"/>
    <n v="0"/>
    <n v="1"/>
  </r>
  <r>
    <s v="Boston Scientific"/>
    <x v="51"/>
    <x v="8"/>
    <n v="0"/>
    <m/>
    <m/>
    <n v="12"/>
    <n v="0"/>
    <x v="0"/>
    <n v="0"/>
    <n v="0"/>
    <n v="0"/>
  </r>
  <r>
    <s v="Cook Medical"/>
    <x v="51"/>
    <x v="24"/>
    <n v="6"/>
    <m/>
    <m/>
    <n v="16"/>
    <n v="0"/>
    <x v="0"/>
    <n v="0"/>
    <n v="0"/>
    <n v="1"/>
  </r>
  <r>
    <s v="Hillrom"/>
    <x v="51"/>
    <x v="8"/>
    <n v="4"/>
    <m/>
    <m/>
    <n v="16"/>
    <n v="0"/>
    <x v="0"/>
    <n v="0"/>
    <n v="0"/>
    <n v="1"/>
  </r>
  <r>
    <s v="Integra LifeSciences"/>
    <x v="51"/>
    <x v="24"/>
    <n v="12"/>
    <m/>
    <m/>
    <n v="22"/>
    <n v="0"/>
    <x v="0"/>
    <n v="0"/>
    <n v="0"/>
    <n v="1"/>
  </r>
  <r>
    <s v="Intuitive"/>
    <x v="51"/>
    <x v="0"/>
    <n v="6"/>
    <m/>
    <m/>
    <n v="12"/>
    <n v="0"/>
    <x v="0"/>
    <n v="0"/>
    <n v="0"/>
    <n v="1"/>
  </r>
  <r>
    <s v="Medela"/>
    <x v="51"/>
    <x v="8"/>
    <n v="0"/>
    <m/>
    <m/>
    <n v="12"/>
    <n v="0"/>
    <x v="0"/>
    <n v="0"/>
    <n v="0"/>
    <n v="0"/>
  </r>
  <r>
    <s v="MicroPort Orthopedics"/>
    <x v="51"/>
    <x v="0"/>
    <n v="10"/>
    <m/>
    <m/>
    <n v="16"/>
    <n v="0"/>
    <x v="0"/>
    <n v="0"/>
    <n v="0"/>
    <n v="1"/>
  </r>
  <r>
    <s v="Olympus Corporation"/>
    <x v="51"/>
    <x v="9"/>
    <n v="1"/>
    <m/>
    <m/>
    <n v="5"/>
    <n v="0"/>
    <x v="0"/>
    <n v="0"/>
    <n v="0"/>
    <n v="1"/>
  </r>
  <r>
    <s v="ResMed"/>
    <x v="51"/>
    <x v="2"/>
    <n v="0"/>
    <m/>
    <m/>
    <n v="14"/>
    <n v="0"/>
    <x v="0"/>
    <n v="0"/>
    <n v="0"/>
    <n v="0"/>
  </r>
  <r>
    <s v="Stryker Corporation"/>
    <x v="51"/>
    <x v="8"/>
    <n v="2"/>
    <m/>
    <m/>
    <n v="14"/>
    <n v="0"/>
    <x v="0"/>
    <n v="0"/>
    <n v="0"/>
    <n v="1"/>
  </r>
  <r>
    <s v="Terumo BCT"/>
    <x v="51"/>
    <x v="13"/>
    <n v="18"/>
    <m/>
    <m/>
    <n v="27"/>
    <n v="0"/>
    <x v="0"/>
    <n v="0"/>
    <n v="0"/>
    <n v="1"/>
  </r>
  <r>
    <s v="J&amp;J MedTech"/>
    <x v="121"/>
    <x v="4"/>
    <n v="0"/>
    <m/>
    <m/>
    <n v="8"/>
    <n v="0"/>
    <x v="0"/>
    <n v="0"/>
    <n v="0"/>
    <n v="0"/>
  </r>
  <r>
    <s v="SmileDirectClub"/>
    <x v="121"/>
    <x v="4"/>
    <n v="4"/>
    <m/>
    <m/>
    <n v="12"/>
    <n v="0"/>
    <x v="0"/>
    <n v="0"/>
    <n v="0"/>
    <n v="1"/>
  </r>
  <r>
    <s v="Be The Match"/>
    <x v="122"/>
    <x v="0"/>
    <n v="6"/>
    <m/>
    <m/>
    <n v="12"/>
    <n v="0"/>
    <x v="0"/>
    <n v="0"/>
    <n v="0"/>
    <n v="1"/>
  </r>
  <r>
    <s v="Cardinal Health"/>
    <x v="122"/>
    <x v="9"/>
    <n v="9"/>
    <m/>
    <m/>
    <n v="13"/>
    <n v="0"/>
    <x v="0"/>
    <n v="0"/>
    <n v="0"/>
    <n v="1"/>
  </r>
  <r>
    <s v="GE Healthcare Systems"/>
    <x v="122"/>
    <x v="8"/>
    <n v="4"/>
    <m/>
    <m/>
    <n v="16"/>
    <n v="0"/>
    <x v="0"/>
    <n v="0"/>
    <n v="0"/>
    <n v="1"/>
  </r>
  <r>
    <s v="Heartland Dental"/>
    <x v="122"/>
    <x v="0"/>
    <n v="12"/>
    <m/>
    <m/>
    <n v="18"/>
    <n v="0"/>
    <x v="0"/>
    <n v="0"/>
    <n v="0"/>
    <n v="1"/>
  </r>
  <r>
    <s v="Lumeris"/>
    <x v="122"/>
    <x v="0"/>
    <n v="0"/>
    <m/>
    <m/>
    <n v="6"/>
    <n v="0"/>
    <x v="0"/>
    <n v="0"/>
    <n v="0"/>
    <n v="0"/>
  </r>
  <r>
    <s v="McKesson Specialty Health"/>
    <x v="122"/>
    <x v="8"/>
    <n v="4"/>
    <m/>
    <m/>
    <n v="16"/>
    <n v="0"/>
    <x v="0"/>
    <n v="0"/>
    <n v="0"/>
    <n v="1"/>
  </r>
  <r>
    <s v="Optum"/>
    <x v="122"/>
    <x v="4"/>
    <n v="3"/>
    <m/>
    <m/>
    <n v="11"/>
    <n v="0"/>
    <x v="0"/>
    <n v="0"/>
    <n v="0"/>
    <n v="1"/>
  </r>
  <r>
    <s v="Spectra"/>
    <x v="123"/>
    <x v="8"/>
    <n v="12"/>
    <m/>
    <m/>
    <n v="24"/>
    <n v="0"/>
    <x v="0"/>
    <n v="0"/>
    <n v="0"/>
    <n v="1"/>
  </r>
  <r>
    <s v="Gordon Food Service"/>
    <x v="124"/>
    <x v="38"/>
    <n v="0"/>
    <m/>
    <m/>
    <n v="1"/>
    <n v="0"/>
    <x v="0"/>
    <n v="0"/>
    <n v="0"/>
    <n v="0"/>
  </r>
  <r>
    <s v="Hilton"/>
    <x v="53"/>
    <x v="8"/>
    <n v="6"/>
    <m/>
    <m/>
    <n v="18"/>
    <n v="0"/>
    <x v="0"/>
    <n v="0"/>
    <n v="0"/>
    <n v="1"/>
  </r>
  <r>
    <s v="Hyatt"/>
    <x v="53"/>
    <x v="4"/>
    <n v="0"/>
    <m/>
    <m/>
    <n v="8"/>
    <n v="0"/>
    <x v="0"/>
    <n v="0"/>
    <n v="0"/>
    <n v="0"/>
  </r>
  <r>
    <s v="Rosewood Hotels &amp; Resorts"/>
    <x v="53"/>
    <x v="22"/>
    <n v="0"/>
    <m/>
    <m/>
    <n v="2"/>
    <n v="0"/>
    <x v="0"/>
    <n v="0"/>
    <n v="0"/>
    <n v="0"/>
  </r>
  <r>
    <s v="Taj Hotels"/>
    <x v="53"/>
    <x v="8"/>
    <n v="26"/>
    <m/>
    <m/>
    <n v="38"/>
    <n v="0"/>
    <x v="0"/>
    <n v="0"/>
    <n v="0"/>
    <n v="1"/>
  </r>
  <r>
    <s v="Blue Apron"/>
    <x v="125"/>
    <x v="8"/>
    <n v="0"/>
    <m/>
    <m/>
    <n v="12"/>
    <n v="0"/>
    <x v="0"/>
    <n v="0"/>
    <n v="0"/>
    <n v="0"/>
  </r>
  <r>
    <s v="Disneyland"/>
    <x v="126"/>
    <x v="4"/>
    <n v="0"/>
    <m/>
    <m/>
    <n v="8"/>
    <n v="0"/>
    <x v="0"/>
    <n v="0"/>
    <n v="0"/>
    <n v="0"/>
  </r>
  <r>
    <s v="Great Wolf Resorts"/>
    <x v="126"/>
    <x v="4"/>
    <n v="0"/>
    <m/>
    <m/>
    <n v="8"/>
    <n v="0"/>
    <x v="0"/>
    <n v="0"/>
    <n v="0"/>
    <n v="0"/>
  </r>
  <r>
    <s v="Hilton Grand Vacations"/>
    <x v="126"/>
    <x v="4"/>
    <n v="8"/>
    <m/>
    <m/>
    <n v="16"/>
    <n v="0"/>
    <x v="0"/>
    <n v="0"/>
    <n v="0"/>
    <n v="1"/>
  </r>
  <r>
    <s v="Vail Resorts"/>
    <x v="126"/>
    <x v="9"/>
    <n v="2"/>
    <m/>
    <m/>
    <n v="6"/>
    <n v="0"/>
    <x v="0"/>
    <n v="0"/>
    <n v="0"/>
    <n v="1"/>
  </r>
  <r>
    <s v="Chick-fil-A"/>
    <x v="54"/>
    <x v="0"/>
    <m/>
    <n v="2"/>
    <m/>
    <n v="6"/>
    <n v="2"/>
    <x v="0"/>
    <n v="1"/>
    <n v="0"/>
    <n v="0"/>
  </r>
  <r>
    <s v="Chipotle Mexican Grill"/>
    <x v="54"/>
    <x v="8"/>
    <n v="0"/>
    <m/>
    <m/>
    <n v="12"/>
    <n v="0"/>
    <x v="0"/>
    <n v="0"/>
    <n v="0"/>
    <n v="0"/>
  </r>
  <r>
    <s v="Gate Gourmet"/>
    <x v="54"/>
    <x v="0"/>
    <n v="12"/>
    <m/>
    <m/>
    <n v="18"/>
    <n v="0"/>
    <x v="0"/>
    <n v="0"/>
    <n v="0"/>
    <n v="1"/>
  </r>
  <r>
    <s v="La Colombe Torrefaction"/>
    <x v="54"/>
    <x v="0"/>
    <n v="30"/>
    <m/>
    <m/>
    <n v="36"/>
    <n v="0"/>
    <x v="0"/>
    <n v="0"/>
    <n v="0"/>
    <n v="1"/>
  </r>
  <r>
    <s v="Momofuku"/>
    <x v="54"/>
    <x v="9"/>
    <n v="8"/>
    <m/>
    <m/>
    <n v="12"/>
    <n v="0"/>
    <x v="0"/>
    <n v="0"/>
    <n v="0"/>
    <n v="1"/>
  </r>
  <r>
    <s v="Red Robin"/>
    <x v="54"/>
    <x v="7"/>
    <n v="12"/>
    <m/>
    <m/>
    <n v="12"/>
    <n v="0"/>
    <x v="1"/>
    <n v="0"/>
    <n v="0"/>
    <n v="1"/>
  </r>
  <r>
    <s v="Restaurant Brands International"/>
    <x v="54"/>
    <x v="5"/>
    <n v="0"/>
    <m/>
    <m/>
    <n v="16"/>
    <n v="0"/>
    <x v="0"/>
    <n v="0"/>
    <n v="0"/>
    <n v="0"/>
  </r>
  <r>
    <s v="Texas Roadhouse"/>
    <x v="54"/>
    <x v="0"/>
    <n v="11"/>
    <m/>
    <m/>
    <n v="17"/>
    <n v="0"/>
    <x v="0"/>
    <n v="0"/>
    <n v="0"/>
    <n v="1"/>
  </r>
  <r>
    <s v="Ergotron"/>
    <x v="127"/>
    <x v="8"/>
    <n v="6"/>
    <m/>
    <m/>
    <n v="18"/>
    <n v="0"/>
    <x v="0"/>
    <n v="0"/>
    <n v="0"/>
    <n v="1"/>
  </r>
  <r>
    <s v="Stanley Black &amp; Decker"/>
    <x v="127"/>
    <x v="22"/>
    <n v="16"/>
    <m/>
    <m/>
    <n v="18"/>
    <n v="0"/>
    <x v="0"/>
    <n v="0"/>
    <n v="0"/>
    <n v="1"/>
  </r>
  <r>
    <s v="Steelcase"/>
    <x v="127"/>
    <x v="44"/>
    <n v="27.5"/>
    <m/>
    <m/>
    <n v="38"/>
    <n v="0"/>
    <x v="0"/>
    <n v="0"/>
    <n v="0"/>
    <n v="1"/>
  </r>
  <r>
    <s v="Whirlpool Corporation"/>
    <x v="127"/>
    <x v="8"/>
    <n v="4"/>
    <m/>
    <m/>
    <n v="16"/>
    <n v="0"/>
    <x v="0"/>
    <n v="0"/>
    <n v="0"/>
    <n v="1"/>
  </r>
  <r>
    <s v="Deborah Berke Partners"/>
    <x v="55"/>
    <x v="0"/>
    <n v="4"/>
    <m/>
    <m/>
    <n v="10"/>
    <n v="0"/>
    <x v="0"/>
    <n v="0"/>
    <n v="0"/>
    <n v="1"/>
  </r>
  <r>
    <s v="Grimshaw Architects"/>
    <x v="55"/>
    <x v="1"/>
    <n v="10"/>
    <m/>
    <m/>
    <n v="15"/>
    <n v="0"/>
    <x v="0"/>
    <n v="0"/>
    <n v="0"/>
    <n v="1"/>
  </r>
  <r>
    <s v="Hickok Cole Architects"/>
    <x v="55"/>
    <x v="8"/>
    <n v="8"/>
    <m/>
    <m/>
    <n v="20"/>
    <n v="0"/>
    <x v="0"/>
    <n v="0"/>
    <n v="0"/>
    <n v="1"/>
  </r>
  <r>
    <s v="HOK"/>
    <x v="55"/>
    <x v="0"/>
    <m/>
    <n v="2"/>
    <m/>
    <n v="6"/>
    <n v="2"/>
    <x v="0"/>
    <n v="1"/>
    <n v="0"/>
    <n v="0"/>
  </r>
  <r>
    <s v="MG2"/>
    <x v="55"/>
    <x v="0"/>
    <n v="6"/>
    <m/>
    <m/>
    <n v="12"/>
    <n v="0"/>
    <x v="0"/>
    <n v="0"/>
    <n v="0"/>
    <n v="1"/>
  </r>
  <r>
    <s v="CertainTeed"/>
    <x v="56"/>
    <x v="8"/>
    <n v="12"/>
    <m/>
    <m/>
    <n v="24"/>
    <n v="0"/>
    <x v="0"/>
    <n v="0"/>
    <n v="0"/>
    <n v="1"/>
  </r>
  <r>
    <s v="Construction Specialties"/>
    <x v="56"/>
    <x v="0"/>
    <n v="12"/>
    <m/>
    <m/>
    <n v="18"/>
    <n v="0"/>
    <x v="0"/>
    <n v="0"/>
    <n v="0"/>
    <n v="1"/>
  </r>
  <r>
    <s v="Daltile"/>
    <x v="56"/>
    <x v="7"/>
    <n v="12"/>
    <m/>
    <m/>
    <n v="12"/>
    <n v="0"/>
    <x v="1"/>
    <n v="0"/>
    <n v="0"/>
    <n v="1"/>
  </r>
  <r>
    <s v="GAF"/>
    <x v="56"/>
    <x v="0"/>
    <n v="12"/>
    <m/>
    <m/>
    <n v="18"/>
    <n v="0"/>
    <x v="0"/>
    <n v="0"/>
    <n v="0"/>
    <n v="1"/>
  </r>
  <r>
    <s v="Lehigh Hanson"/>
    <x v="56"/>
    <x v="0"/>
    <n v="6"/>
    <m/>
    <m/>
    <n v="12"/>
    <n v="0"/>
    <x v="0"/>
    <n v="0"/>
    <n v="0"/>
    <n v="1"/>
  </r>
  <r>
    <s v="Sherwin-Williams"/>
    <x v="56"/>
    <x v="4"/>
    <n v="4"/>
    <m/>
    <m/>
    <n v="12"/>
    <n v="0"/>
    <x v="0"/>
    <n v="0"/>
    <n v="0"/>
    <n v="1"/>
  </r>
  <r>
    <s v="Wilsonart"/>
    <x v="56"/>
    <x v="0"/>
    <n v="12"/>
    <m/>
    <m/>
    <n v="18"/>
    <n v="0"/>
    <x v="0"/>
    <n v="0"/>
    <n v="0"/>
    <n v="1"/>
  </r>
  <r>
    <s v="Graham Construction &amp; Engineering Inc"/>
    <x v="57"/>
    <x v="8"/>
    <n v="52"/>
    <m/>
    <m/>
    <n v="64"/>
    <n v="0"/>
    <x v="0"/>
    <n v="0"/>
    <n v="0"/>
    <n v="1"/>
  </r>
  <r>
    <s v="CIRCOR International, Inc."/>
    <x v="58"/>
    <x v="8"/>
    <n v="12"/>
    <m/>
    <m/>
    <n v="24"/>
    <n v="0"/>
    <x v="0"/>
    <n v="0"/>
    <n v="0"/>
    <n v="1"/>
  </r>
  <r>
    <s v="Danaher"/>
    <x v="58"/>
    <x v="4"/>
    <n v="6"/>
    <m/>
    <m/>
    <n v="14"/>
    <n v="0"/>
    <x v="0"/>
    <n v="0"/>
    <n v="0"/>
    <n v="1"/>
  </r>
  <r>
    <s v="Eaton"/>
    <x v="58"/>
    <x v="8"/>
    <n v="0"/>
    <m/>
    <m/>
    <n v="12"/>
    <n v="0"/>
    <x v="0"/>
    <n v="0"/>
    <n v="0"/>
    <n v="0"/>
  </r>
  <r>
    <s v="Faith Technologies"/>
    <x v="58"/>
    <x v="4"/>
    <n v="4"/>
    <m/>
    <m/>
    <n v="12"/>
    <n v="0"/>
    <x v="0"/>
    <n v="0"/>
    <n v="0"/>
    <n v="1"/>
  </r>
  <r>
    <s v="HDR"/>
    <x v="58"/>
    <x v="22"/>
    <n v="8"/>
    <m/>
    <m/>
    <n v="10"/>
    <n v="0"/>
    <x v="0"/>
    <n v="0"/>
    <n v="0"/>
    <n v="1"/>
  </r>
  <r>
    <s v="Honeywell"/>
    <x v="58"/>
    <x v="9"/>
    <n v="12"/>
    <m/>
    <m/>
    <n v="16"/>
    <n v="0"/>
    <x v="0"/>
    <n v="0"/>
    <n v="0"/>
    <n v="1"/>
  </r>
  <r>
    <s v="Jacobs"/>
    <x v="58"/>
    <x v="38"/>
    <n v="8"/>
    <m/>
    <m/>
    <n v="9"/>
    <n v="0"/>
    <x v="0"/>
    <n v="0"/>
    <n v="0"/>
    <n v="1"/>
  </r>
  <r>
    <s v="Jason Industrial"/>
    <x v="58"/>
    <x v="8"/>
    <n v="0"/>
    <m/>
    <m/>
    <n v="12"/>
    <n v="0"/>
    <x v="0"/>
    <n v="0"/>
    <n v="0"/>
    <n v="0"/>
  </r>
  <r>
    <s v="Babcock International Group"/>
    <x v="128"/>
    <x v="8"/>
    <n v="0"/>
    <m/>
    <m/>
    <n v="12"/>
    <n v="0"/>
    <x v="0"/>
    <n v="0"/>
    <n v="0"/>
    <n v="0"/>
  </r>
  <r>
    <s v="Emerson Process Management"/>
    <x v="128"/>
    <x v="8"/>
    <n v="0"/>
    <m/>
    <m/>
    <n v="12"/>
    <n v="0"/>
    <x v="0"/>
    <n v="0"/>
    <n v="0"/>
    <n v="0"/>
  </r>
  <r>
    <s v="Equinor"/>
    <x v="128"/>
    <x v="5"/>
    <n v="2"/>
    <m/>
    <m/>
    <n v="18"/>
    <n v="0"/>
    <x v="0"/>
    <n v="0"/>
    <n v="0"/>
    <n v="1"/>
  </r>
  <r>
    <s v="GZA"/>
    <x v="128"/>
    <x v="9"/>
    <n v="0"/>
    <m/>
    <m/>
    <n v="4"/>
    <n v="0"/>
    <x v="0"/>
    <n v="0"/>
    <n v="0"/>
    <n v="0"/>
  </r>
  <r>
    <s v="Pfaudler inc"/>
    <x v="128"/>
    <x v="24"/>
    <n v="0"/>
    <m/>
    <m/>
    <n v="10"/>
    <n v="0"/>
    <x v="0"/>
    <n v="0"/>
    <n v="0"/>
    <n v="0"/>
  </r>
  <r>
    <s v="Quiddity Engineering"/>
    <x v="128"/>
    <x v="22"/>
    <n v="6"/>
    <m/>
    <m/>
    <n v="8"/>
    <n v="0"/>
    <x v="0"/>
    <n v="0"/>
    <n v="0"/>
    <n v="1"/>
  </r>
  <r>
    <s v="Stantec"/>
    <x v="128"/>
    <x v="0"/>
    <n v="12"/>
    <m/>
    <m/>
    <n v="18"/>
    <n v="0"/>
    <x v="0"/>
    <n v="0"/>
    <n v="0"/>
    <n v="1"/>
  </r>
  <r>
    <s v="Subsea 7"/>
    <x v="128"/>
    <x v="8"/>
    <n v="0"/>
    <m/>
    <m/>
    <n v="12"/>
    <n v="0"/>
    <x v="0"/>
    <n v="0"/>
    <n v="0"/>
    <n v="0"/>
  </r>
  <r>
    <s v="WSP Global"/>
    <x v="128"/>
    <x v="22"/>
    <n v="12"/>
    <m/>
    <m/>
    <n v="14"/>
    <n v="0"/>
    <x v="0"/>
    <n v="0"/>
    <n v="0"/>
    <n v="1"/>
  </r>
  <r>
    <s v="Xylem Inc."/>
    <x v="128"/>
    <x v="9"/>
    <n v="0"/>
    <m/>
    <m/>
    <n v="4"/>
    <n v="0"/>
    <x v="0"/>
    <n v="0"/>
    <n v="0"/>
    <n v="0"/>
  </r>
  <r>
    <s v="AGCO Corporation"/>
    <x v="15"/>
    <x v="0"/>
    <n v="6"/>
    <m/>
    <m/>
    <n v="12"/>
    <n v="0"/>
    <x v="0"/>
    <n v="0"/>
    <n v="0"/>
    <n v="1"/>
  </r>
  <r>
    <s v="Association of Equipment Manufacturers"/>
    <x v="15"/>
    <x v="0"/>
    <n v="6"/>
    <m/>
    <m/>
    <n v="12"/>
    <n v="0"/>
    <x v="0"/>
    <n v="0"/>
    <n v="0"/>
    <n v="1"/>
  </r>
  <r>
    <s v="Atlantic Diving Supply, Inc."/>
    <x v="15"/>
    <x v="0"/>
    <n v="6"/>
    <m/>
    <m/>
    <n v="12"/>
    <n v="0"/>
    <x v="0"/>
    <n v="0"/>
    <n v="0"/>
    <n v="1"/>
  </r>
  <r>
    <s v="Emerson Climate Technologies"/>
    <x v="15"/>
    <x v="8"/>
    <m/>
    <n v="2"/>
    <m/>
    <n v="12"/>
    <n v="2"/>
    <x v="0"/>
    <n v="1"/>
    <n v="0"/>
    <n v="0"/>
  </r>
  <r>
    <s v="Genie Industries"/>
    <x v="15"/>
    <x v="8"/>
    <n v="12"/>
    <m/>
    <m/>
    <n v="24"/>
    <n v="0"/>
    <x v="0"/>
    <n v="0"/>
    <n v="0"/>
    <n v="1"/>
  </r>
  <r>
    <s v="ITW"/>
    <x v="15"/>
    <x v="32"/>
    <n v="0"/>
    <m/>
    <m/>
    <n v="7"/>
    <n v="0"/>
    <x v="0"/>
    <n v="0"/>
    <n v="0"/>
    <n v="0"/>
  </r>
  <r>
    <s v="KONE Corporation"/>
    <x v="15"/>
    <x v="13"/>
    <n v="0"/>
    <m/>
    <m/>
    <n v="9"/>
    <n v="0"/>
    <x v="0"/>
    <n v="0"/>
    <n v="0"/>
    <n v="0"/>
  </r>
  <r>
    <s v="Terex"/>
    <x v="15"/>
    <x v="24"/>
    <n v="2"/>
    <m/>
    <m/>
    <n v="12"/>
    <n v="0"/>
    <x v="0"/>
    <n v="0"/>
    <n v="0"/>
    <n v="1"/>
  </r>
  <r>
    <s v="Weir ESCO"/>
    <x v="15"/>
    <x v="38"/>
    <n v="12"/>
    <m/>
    <m/>
    <n v="13"/>
    <n v="0"/>
    <x v="0"/>
    <n v="0"/>
    <n v="0"/>
    <n v="1"/>
  </r>
  <r>
    <s v="Zoox"/>
    <x v="15"/>
    <x v="8"/>
    <n v="0"/>
    <m/>
    <m/>
    <n v="12"/>
    <n v="0"/>
    <x v="0"/>
    <n v="0"/>
    <n v="0"/>
    <n v="0"/>
  </r>
  <r>
    <s v="Aleris International, Inc."/>
    <x v="129"/>
    <x v="9"/>
    <n v="0"/>
    <m/>
    <m/>
    <n v="4"/>
    <n v="0"/>
    <x v="0"/>
    <n v="0"/>
    <n v="0"/>
    <n v="0"/>
  </r>
  <r>
    <s v="Avantor"/>
    <x v="129"/>
    <x v="9"/>
    <n v="0"/>
    <m/>
    <m/>
    <n v="4"/>
    <n v="0"/>
    <x v="0"/>
    <n v="0"/>
    <n v="0"/>
    <n v="0"/>
  </r>
  <r>
    <s v="HP Manufacturing"/>
    <x v="129"/>
    <x v="0"/>
    <n v="6"/>
    <m/>
    <m/>
    <n v="12"/>
    <n v="0"/>
    <x v="0"/>
    <n v="0"/>
    <n v="0"/>
    <n v="1"/>
  </r>
  <r>
    <s v="Orica"/>
    <x v="129"/>
    <x v="8"/>
    <n v="0"/>
    <m/>
    <m/>
    <n v="12"/>
    <n v="0"/>
    <x v="0"/>
    <n v="0"/>
    <n v="0"/>
    <n v="0"/>
  </r>
  <r>
    <s v="W.L. Gore"/>
    <x v="129"/>
    <x v="8"/>
    <n v="12"/>
    <m/>
    <m/>
    <n v="24"/>
    <n v="0"/>
    <x v="0"/>
    <n v="0"/>
    <n v="0"/>
    <n v="1"/>
  </r>
  <r>
    <s v="Grainger Industrial Supply"/>
    <x v="59"/>
    <x v="13"/>
    <n v="6"/>
    <m/>
    <m/>
    <n v="15"/>
    <n v="0"/>
    <x v="0"/>
    <n v="0"/>
    <n v="0"/>
    <n v="1"/>
  </r>
  <r>
    <s v="Hunter Douglas"/>
    <x v="59"/>
    <x v="0"/>
    <n v="6"/>
    <m/>
    <m/>
    <n v="12"/>
    <n v="0"/>
    <x v="0"/>
    <n v="0"/>
    <n v="0"/>
    <n v="1"/>
  </r>
  <r>
    <s v="United Rentals"/>
    <x v="59"/>
    <x v="0"/>
    <n v="7.5"/>
    <m/>
    <m/>
    <n v="13.5"/>
    <n v="0"/>
    <x v="0"/>
    <n v="0"/>
    <n v="0"/>
    <n v="1"/>
  </r>
  <r>
    <s v="Bloomberg"/>
    <x v="60"/>
    <x v="20"/>
    <n v="0"/>
    <m/>
    <m/>
    <n v="26"/>
    <n v="0"/>
    <x v="0"/>
    <n v="0"/>
    <n v="0"/>
    <n v="0"/>
  </r>
  <r>
    <s v="Nielsen Holdings N.V."/>
    <x v="60"/>
    <x v="13"/>
    <n v="3"/>
    <m/>
    <m/>
    <n v="12"/>
    <n v="0"/>
    <x v="0"/>
    <n v="0"/>
    <n v="0"/>
    <n v="1"/>
  </r>
  <r>
    <s v="RELX Group"/>
    <x v="60"/>
    <x v="35"/>
    <n v="20"/>
    <m/>
    <m/>
    <n v="33"/>
    <n v="0"/>
    <x v="0"/>
    <n v="0"/>
    <n v="0"/>
    <n v="1"/>
  </r>
  <r>
    <s v="WinBizSolutions"/>
    <x v="60"/>
    <x v="5"/>
    <n v="0"/>
    <m/>
    <m/>
    <n v="16"/>
    <n v="0"/>
    <x v="0"/>
    <n v="0"/>
    <n v="0"/>
    <n v="0"/>
  </r>
  <r>
    <s v="Wolters Kluwer"/>
    <x v="60"/>
    <x v="22"/>
    <n v="6"/>
    <m/>
    <m/>
    <n v="8"/>
    <n v="0"/>
    <x v="0"/>
    <n v="0"/>
    <n v="0"/>
    <n v="1"/>
  </r>
  <r>
    <s v="Dun &amp; Bradstreet"/>
    <x v="61"/>
    <x v="12"/>
    <n v="20"/>
    <m/>
    <m/>
    <n v="35"/>
    <n v="0"/>
    <x v="0"/>
    <n v="0"/>
    <n v="0"/>
    <n v="1"/>
  </r>
  <r>
    <s v="Experian PLC"/>
    <x v="61"/>
    <x v="12"/>
    <n v="2.5"/>
    <m/>
    <m/>
    <n v="17.5"/>
    <n v="0"/>
    <x v="0"/>
    <n v="0"/>
    <n v="0"/>
    <n v="1"/>
  </r>
  <r>
    <s v="Fitch Ratings"/>
    <x v="61"/>
    <x v="8"/>
    <n v="0"/>
    <m/>
    <m/>
    <n v="12"/>
    <n v="0"/>
    <x v="0"/>
    <n v="0"/>
    <n v="0"/>
    <n v="0"/>
  </r>
  <r>
    <s v="Ipreo Holdings LLC"/>
    <x v="61"/>
    <x v="14"/>
    <n v="8"/>
    <m/>
    <m/>
    <n v="32"/>
    <n v="0"/>
    <x v="0"/>
    <n v="0"/>
    <n v="0"/>
    <n v="1"/>
  </r>
  <r>
    <s v="NASDAQ"/>
    <x v="61"/>
    <x v="12"/>
    <n v="0"/>
    <m/>
    <m/>
    <n v="15"/>
    <n v="0"/>
    <x v="0"/>
    <n v="0"/>
    <n v="0"/>
    <n v="0"/>
  </r>
  <r>
    <s v="TransUnion"/>
    <x v="61"/>
    <x v="37"/>
    <n v="0"/>
    <m/>
    <m/>
    <n v="17"/>
    <n v="0"/>
    <x v="0"/>
    <n v="0"/>
    <n v="0"/>
    <n v="0"/>
  </r>
  <r>
    <s v="Bloomberg BNA"/>
    <x v="130"/>
    <x v="8"/>
    <n v="10"/>
    <m/>
    <m/>
    <n v="22"/>
    <n v="0"/>
    <x v="0"/>
    <n v="0"/>
    <n v="0"/>
    <n v="1"/>
  </r>
  <r>
    <s v="1010data"/>
    <x v="62"/>
    <x v="8"/>
    <n v="8"/>
    <m/>
    <m/>
    <n v="20"/>
    <n v="0"/>
    <x v="0"/>
    <n v="0"/>
    <n v="0"/>
    <n v="1"/>
  </r>
  <r>
    <s v="Avanade"/>
    <x v="62"/>
    <x v="5"/>
    <n v="1.5"/>
    <m/>
    <m/>
    <n v="17.5"/>
    <n v="0"/>
    <x v="0"/>
    <n v="0"/>
    <n v="0"/>
    <n v="1"/>
  </r>
  <r>
    <s v="Cloudreach"/>
    <x v="62"/>
    <x v="8"/>
    <n v="0"/>
    <m/>
    <m/>
    <n v="12"/>
    <n v="0"/>
    <x v="0"/>
    <n v="0"/>
    <n v="0"/>
    <n v="0"/>
  </r>
  <r>
    <s v="Dataminr"/>
    <x v="62"/>
    <x v="5"/>
    <n v="0"/>
    <m/>
    <m/>
    <n v="16"/>
    <n v="0"/>
    <x v="0"/>
    <n v="0"/>
    <n v="0"/>
    <n v="0"/>
  </r>
  <r>
    <s v="Dell Boomi"/>
    <x v="62"/>
    <x v="8"/>
    <m/>
    <n v="12"/>
    <m/>
    <n v="12"/>
    <n v="12"/>
    <x v="0"/>
    <n v="1"/>
    <n v="0"/>
    <n v="0"/>
  </r>
  <r>
    <s v="DoubleVerify, Inc."/>
    <x v="62"/>
    <x v="24"/>
    <n v="8"/>
    <m/>
    <m/>
    <n v="18"/>
    <n v="0"/>
    <x v="0"/>
    <n v="0"/>
    <n v="0"/>
    <n v="1"/>
  </r>
  <r>
    <s v="Emids"/>
    <x v="62"/>
    <x v="1"/>
    <n v="0"/>
    <m/>
    <m/>
    <n v="5"/>
    <n v="0"/>
    <x v="0"/>
    <n v="0"/>
    <n v="0"/>
    <n v="0"/>
  </r>
  <r>
    <s v="Equian"/>
    <x v="62"/>
    <x v="6"/>
    <n v="3"/>
    <m/>
    <m/>
    <n v="6"/>
    <n v="0"/>
    <x v="0"/>
    <n v="0"/>
    <n v="0"/>
    <n v="1"/>
  </r>
  <r>
    <s v="Eras Tech"/>
    <x v="62"/>
    <x v="20"/>
    <n v="0"/>
    <m/>
    <m/>
    <n v="26"/>
    <n v="0"/>
    <x v="0"/>
    <n v="0"/>
    <n v="0"/>
    <n v="0"/>
  </r>
  <r>
    <s v="Gartner"/>
    <x v="62"/>
    <x v="8"/>
    <n v="0"/>
    <m/>
    <m/>
    <n v="12"/>
    <n v="0"/>
    <x v="0"/>
    <n v="0"/>
    <n v="0"/>
    <n v="0"/>
  </r>
  <r>
    <s v="Google Cloud"/>
    <x v="62"/>
    <x v="53"/>
    <n v="32.5"/>
    <m/>
    <m/>
    <n v="51"/>
    <n v="0"/>
    <x v="0"/>
    <n v="0"/>
    <n v="0"/>
    <n v="1"/>
  </r>
  <r>
    <s v="HealthStream"/>
    <x v="62"/>
    <x v="0"/>
    <n v="12"/>
    <m/>
    <m/>
    <n v="18"/>
    <n v="0"/>
    <x v="0"/>
    <n v="0"/>
    <n v="0"/>
    <n v="1"/>
  </r>
  <r>
    <s v="Hitachi Vantara"/>
    <x v="62"/>
    <x v="8"/>
    <n v="0"/>
    <m/>
    <m/>
    <n v="12"/>
    <n v="0"/>
    <x v="0"/>
    <n v="0"/>
    <n v="0"/>
    <n v="0"/>
  </r>
  <r>
    <s v="Infolock"/>
    <x v="62"/>
    <x v="8"/>
    <n v="0"/>
    <m/>
    <m/>
    <n v="12"/>
    <n v="0"/>
    <x v="0"/>
    <n v="0"/>
    <n v="0"/>
    <n v="0"/>
  </r>
  <r>
    <s v="Infosys"/>
    <x v="62"/>
    <x v="51"/>
    <n v="1"/>
    <m/>
    <m/>
    <n v="2.5"/>
    <n v="0"/>
    <x v="0"/>
    <n v="0"/>
    <n v="0"/>
    <n v="1"/>
  </r>
  <r>
    <s v="J2 Global"/>
    <x v="62"/>
    <x v="5"/>
    <n v="0"/>
    <m/>
    <m/>
    <n v="16"/>
    <n v="0"/>
    <x v="0"/>
    <n v="0"/>
    <n v="0"/>
    <n v="0"/>
  </r>
  <r>
    <s v="LeverX"/>
    <x v="62"/>
    <x v="45"/>
    <n v="0"/>
    <m/>
    <m/>
    <n v="52"/>
    <n v="0"/>
    <x v="0"/>
    <n v="0"/>
    <n v="0"/>
    <n v="0"/>
  </r>
  <r>
    <s v="LexisNexis"/>
    <x v="62"/>
    <x v="2"/>
    <n v="0"/>
    <m/>
    <m/>
    <n v="14"/>
    <n v="0"/>
    <x v="0"/>
    <n v="0"/>
    <n v="0"/>
    <n v="0"/>
  </r>
  <r>
    <s v="Lloyd Group"/>
    <x v="62"/>
    <x v="6"/>
    <n v="0"/>
    <m/>
    <m/>
    <n v="3"/>
    <n v="0"/>
    <x v="0"/>
    <n v="0"/>
    <n v="0"/>
    <n v="0"/>
  </r>
  <r>
    <s v="LMT Technology Solutions"/>
    <x v="62"/>
    <x v="8"/>
    <n v="0"/>
    <m/>
    <m/>
    <n v="12"/>
    <n v="0"/>
    <x v="0"/>
    <n v="0"/>
    <n v="0"/>
    <n v="0"/>
  </r>
  <r>
    <s v="Microsoft Azure"/>
    <x v="62"/>
    <x v="5"/>
    <n v="4"/>
    <m/>
    <m/>
    <n v="20"/>
    <n v="0"/>
    <x v="0"/>
    <n v="0"/>
    <n v="0"/>
    <n v="1"/>
  </r>
  <r>
    <s v="NetImpact Strategies"/>
    <x v="62"/>
    <x v="9"/>
    <n v="12"/>
    <m/>
    <m/>
    <n v="16"/>
    <n v="0"/>
    <x v="0"/>
    <n v="0"/>
    <n v="0"/>
    <n v="1"/>
  </r>
  <r>
    <s v="Newfold Digital"/>
    <x v="62"/>
    <x v="8"/>
    <n v="12"/>
    <m/>
    <m/>
    <n v="24"/>
    <n v="0"/>
    <x v="0"/>
    <n v="0"/>
    <n v="0"/>
    <n v="1"/>
  </r>
  <r>
    <s v="Niche"/>
    <x v="62"/>
    <x v="9"/>
    <n v="12"/>
    <m/>
    <m/>
    <n v="16"/>
    <n v="0"/>
    <x v="0"/>
    <n v="0"/>
    <n v="0"/>
    <n v="1"/>
  </r>
  <r>
    <s v="NielsenIQ"/>
    <x v="62"/>
    <x v="23"/>
    <n v="0"/>
    <m/>
    <m/>
    <n v="20"/>
    <n v="0"/>
    <x v="0"/>
    <n v="0"/>
    <n v="0"/>
    <n v="0"/>
  </r>
  <r>
    <s v="OM1"/>
    <x v="62"/>
    <x v="9"/>
    <n v="0"/>
    <m/>
    <m/>
    <n v="4"/>
    <n v="0"/>
    <x v="0"/>
    <n v="0"/>
    <n v="0"/>
    <n v="0"/>
  </r>
  <r>
    <s v="OPTIMIZERx Corporation"/>
    <x v="62"/>
    <x v="9"/>
    <n v="8"/>
    <m/>
    <m/>
    <n v="12"/>
    <n v="0"/>
    <x v="0"/>
    <n v="0"/>
    <n v="0"/>
    <n v="1"/>
  </r>
  <r>
    <s v="PatientPop"/>
    <x v="62"/>
    <x v="8"/>
    <n v="12"/>
    <m/>
    <m/>
    <n v="24"/>
    <n v="0"/>
    <x v="0"/>
    <n v="0"/>
    <n v="0"/>
    <n v="1"/>
  </r>
  <r>
    <s v="Publicis Sapient"/>
    <x v="62"/>
    <x v="8"/>
    <n v="4"/>
    <m/>
    <m/>
    <n v="16"/>
    <n v="0"/>
    <x v="0"/>
    <n v="0"/>
    <n v="0"/>
    <n v="1"/>
  </r>
  <r>
    <s v="Remind"/>
    <x v="62"/>
    <x v="5"/>
    <n v="0"/>
    <m/>
    <m/>
    <n v="16"/>
    <n v="0"/>
    <x v="0"/>
    <n v="0"/>
    <n v="0"/>
    <n v="0"/>
  </r>
  <r>
    <s v="RF Code"/>
    <x v="62"/>
    <x v="0"/>
    <n v="6"/>
    <m/>
    <m/>
    <n v="12"/>
    <n v="0"/>
    <x v="0"/>
    <n v="0"/>
    <n v="0"/>
    <n v="1"/>
  </r>
  <r>
    <s v="Siemens Healthineers"/>
    <x v="62"/>
    <x v="8"/>
    <n v="0"/>
    <m/>
    <m/>
    <n v="12"/>
    <n v="0"/>
    <x v="0"/>
    <n v="0"/>
    <n v="0"/>
    <n v="0"/>
  </r>
  <r>
    <s v="Smarsh"/>
    <x v="62"/>
    <x v="22"/>
    <n v="4"/>
    <m/>
    <m/>
    <n v="6"/>
    <n v="0"/>
    <x v="0"/>
    <n v="0"/>
    <n v="0"/>
    <n v="1"/>
  </r>
  <r>
    <s v="SpotX"/>
    <x v="62"/>
    <x v="13"/>
    <n v="6"/>
    <m/>
    <m/>
    <n v="15"/>
    <n v="0"/>
    <x v="0"/>
    <n v="0"/>
    <n v="0"/>
    <n v="1"/>
  </r>
  <r>
    <s v="Surescripts"/>
    <x v="62"/>
    <x v="24"/>
    <n v="2"/>
    <m/>
    <m/>
    <n v="12"/>
    <n v="0"/>
    <x v="0"/>
    <n v="0"/>
    <n v="0"/>
    <n v="1"/>
  </r>
  <r>
    <s v="The Gordian Group"/>
    <x v="62"/>
    <x v="4"/>
    <n v="12"/>
    <m/>
    <m/>
    <n v="20"/>
    <n v="0"/>
    <x v="0"/>
    <n v="0"/>
    <n v="0"/>
    <n v="1"/>
  </r>
  <r>
    <s v="TriNet"/>
    <x v="62"/>
    <x v="8"/>
    <n v="4"/>
    <m/>
    <m/>
    <n v="16"/>
    <n v="0"/>
    <x v="0"/>
    <n v="0"/>
    <n v="0"/>
    <n v="1"/>
  </r>
  <r>
    <s v="Verisk Analytics"/>
    <x v="62"/>
    <x v="24"/>
    <n v="4"/>
    <m/>
    <m/>
    <n v="14"/>
    <n v="0"/>
    <x v="0"/>
    <n v="0"/>
    <n v="0"/>
    <n v="1"/>
  </r>
  <r>
    <s v="VTS"/>
    <x v="62"/>
    <x v="11"/>
    <n v="0"/>
    <m/>
    <m/>
    <n v="18"/>
    <n v="0"/>
    <x v="0"/>
    <n v="0"/>
    <n v="0"/>
    <n v="0"/>
  </r>
  <r>
    <s v="WP Engine"/>
    <x v="62"/>
    <x v="5"/>
    <n v="0"/>
    <m/>
    <m/>
    <n v="16"/>
    <n v="0"/>
    <x v="0"/>
    <n v="0"/>
    <n v="0"/>
    <n v="0"/>
  </r>
  <r>
    <s v="ZoomInfo"/>
    <x v="62"/>
    <x v="8"/>
    <n v="0"/>
    <m/>
    <m/>
    <n v="12"/>
    <n v="0"/>
    <x v="0"/>
    <n v="0"/>
    <n v="0"/>
    <n v="0"/>
  </r>
  <r>
    <s v="Marsh &amp; McLennan Agency"/>
    <x v="131"/>
    <x v="22"/>
    <n v="10"/>
    <m/>
    <m/>
    <n v="12"/>
    <n v="0"/>
    <x v="0"/>
    <n v="0"/>
    <n v="0"/>
    <n v="1"/>
  </r>
  <r>
    <s v="Hub International"/>
    <x v="132"/>
    <x v="0"/>
    <n v="4"/>
    <m/>
    <m/>
    <n v="10"/>
    <n v="0"/>
    <x v="0"/>
    <n v="0"/>
    <n v="0"/>
    <n v="1"/>
  </r>
  <r>
    <s v="USI Insurance Services"/>
    <x v="132"/>
    <x v="22"/>
    <n v="10"/>
    <m/>
    <m/>
    <n v="12"/>
    <n v="0"/>
    <x v="0"/>
    <n v="0"/>
    <n v="0"/>
    <n v="1"/>
  </r>
  <r>
    <s v="Willis Towers Watson"/>
    <x v="132"/>
    <x v="9"/>
    <n v="12.5"/>
    <m/>
    <m/>
    <n v="16.5"/>
    <n v="0"/>
    <x v="0"/>
    <n v="0"/>
    <n v="0"/>
    <n v="1"/>
  </r>
  <r>
    <s v="AmeriTrust Group"/>
    <x v="63"/>
    <x v="9"/>
    <n v="8"/>
    <m/>
    <m/>
    <n v="12"/>
    <n v="0"/>
    <x v="0"/>
    <n v="0"/>
    <n v="0"/>
    <n v="1"/>
  </r>
  <r>
    <s v="Aspen Insurance Holdings Limited"/>
    <x v="63"/>
    <x v="5"/>
    <n v="0"/>
    <m/>
    <m/>
    <n v="16"/>
    <n v="0"/>
    <x v="0"/>
    <n v="0"/>
    <n v="0"/>
    <n v="0"/>
  </r>
  <r>
    <s v="CUNA Mutual Group"/>
    <x v="63"/>
    <x v="4"/>
    <m/>
    <n v="12"/>
    <m/>
    <n v="8"/>
    <n v="12"/>
    <x v="0"/>
    <n v="1"/>
    <n v="0"/>
    <n v="0"/>
  </r>
  <r>
    <s v="First American"/>
    <x v="63"/>
    <x v="0"/>
    <n v="12"/>
    <m/>
    <m/>
    <n v="18"/>
    <n v="0"/>
    <x v="0"/>
    <n v="0"/>
    <n v="0"/>
    <n v="1"/>
  </r>
  <r>
    <s v="Hiscox"/>
    <x v="63"/>
    <x v="8"/>
    <n v="0"/>
    <m/>
    <m/>
    <n v="12"/>
    <n v="0"/>
    <x v="0"/>
    <n v="0"/>
    <n v="0"/>
    <n v="0"/>
  </r>
  <r>
    <s v="IAG Limited"/>
    <x v="63"/>
    <x v="8"/>
    <n v="40"/>
    <m/>
    <m/>
    <n v="52"/>
    <n v="0"/>
    <x v="0"/>
    <n v="0"/>
    <n v="0"/>
    <n v="1"/>
  </r>
  <r>
    <s v="Lockton Companies Inc."/>
    <x v="63"/>
    <x v="8"/>
    <n v="0"/>
    <m/>
    <m/>
    <n v="12"/>
    <n v="0"/>
    <x v="0"/>
    <n v="0"/>
    <n v="0"/>
    <n v="0"/>
  </r>
  <r>
    <s v="MassMutual"/>
    <x v="63"/>
    <x v="4"/>
    <n v="12"/>
    <m/>
    <m/>
    <n v="20"/>
    <n v="0"/>
    <x v="0"/>
    <n v="0"/>
    <n v="0"/>
    <n v="1"/>
  </r>
  <r>
    <s v="MJ Insurance"/>
    <x v="63"/>
    <x v="22"/>
    <n v="10"/>
    <m/>
    <m/>
    <n v="12"/>
    <n v="0"/>
    <x v="0"/>
    <n v="0"/>
    <n v="0"/>
    <n v="1"/>
  </r>
  <r>
    <s v="Sana Benefits"/>
    <x v="63"/>
    <x v="35"/>
    <n v="13"/>
    <m/>
    <m/>
    <n v="26"/>
    <n v="0"/>
    <x v="0"/>
    <n v="0"/>
    <n v="0"/>
    <n v="1"/>
  </r>
  <r>
    <s v="Sun Life Financial"/>
    <x v="63"/>
    <x v="5"/>
    <n v="0"/>
    <m/>
    <m/>
    <n v="16"/>
    <n v="0"/>
    <x v="0"/>
    <n v="0"/>
    <n v="0"/>
    <n v="0"/>
  </r>
  <r>
    <s v="The McGowan Companies Inc."/>
    <x v="63"/>
    <x v="8"/>
    <n v="12"/>
    <m/>
    <m/>
    <n v="24"/>
    <n v="0"/>
    <x v="0"/>
    <n v="0"/>
    <n v="0"/>
    <n v="1"/>
  </r>
  <r>
    <s v="Trustmark Companies"/>
    <x v="63"/>
    <x v="0"/>
    <n v="6"/>
    <m/>
    <m/>
    <n v="12"/>
    <n v="0"/>
    <x v="0"/>
    <n v="0"/>
    <n v="0"/>
    <n v="1"/>
  </r>
  <r>
    <s v="Anthem"/>
    <x v="16"/>
    <x v="7"/>
    <n v="6"/>
    <m/>
    <m/>
    <n v="6"/>
    <n v="0"/>
    <x v="1"/>
    <n v="0"/>
    <n v="0"/>
    <n v="1"/>
  </r>
  <r>
    <s v="Blue Cross and Blue Shield of Texas"/>
    <x v="16"/>
    <x v="0"/>
    <n v="0"/>
    <m/>
    <m/>
    <n v="6"/>
    <n v="0"/>
    <x v="0"/>
    <n v="0"/>
    <n v="0"/>
    <n v="0"/>
  </r>
  <r>
    <s v="Blue Cross Blue Shield of Alabama"/>
    <x v="16"/>
    <x v="0"/>
    <n v="6"/>
    <m/>
    <m/>
    <n v="12"/>
    <n v="0"/>
    <x v="0"/>
    <n v="0"/>
    <n v="0"/>
    <n v="1"/>
  </r>
  <r>
    <s v="Cambia Health Solutions"/>
    <x v="16"/>
    <x v="8"/>
    <n v="0"/>
    <m/>
    <m/>
    <n v="12"/>
    <n v="0"/>
    <x v="0"/>
    <n v="0"/>
    <n v="0"/>
    <n v="0"/>
  </r>
  <r>
    <s v="CareFirst"/>
    <x v="16"/>
    <x v="0"/>
    <n v="5"/>
    <m/>
    <m/>
    <n v="11"/>
    <n v="0"/>
    <x v="0"/>
    <n v="0"/>
    <n v="0"/>
    <n v="1"/>
  </r>
  <r>
    <s v="CareSource"/>
    <x v="16"/>
    <x v="8"/>
    <n v="0"/>
    <m/>
    <m/>
    <n v="12"/>
    <n v="0"/>
    <x v="0"/>
    <n v="0"/>
    <n v="0"/>
    <n v="0"/>
  </r>
  <r>
    <s v="Centene Corporation"/>
    <x v="16"/>
    <x v="6"/>
    <n v="7.5"/>
    <m/>
    <m/>
    <n v="10.5"/>
    <n v="0"/>
    <x v="0"/>
    <n v="0"/>
    <n v="0"/>
    <n v="1"/>
  </r>
  <r>
    <s v="CIGNA Corporation"/>
    <x v="16"/>
    <x v="0"/>
    <n v="4"/>
    <m/>
    <m/>
    <n v="10"/>
    <n v="0"/>
    <x v="0"/>
    <n v="0"/>
    <n v="0"/>
    <n v="1"/>
  </r>
  <r>
    <s v="Clover Health"/>
    <x v="16"/>
    <x v="0"/>
    <n v="8"/>
    <m/>
    <m/>
    <n v="14"/>
    <n v="0"/>
    <x v="0"/>
    <n v="0"/>
    <n v="0"/>
    <n v="1"/>
  </r>
  <r>
    <s v="Delta Dental Ins"/>
    <x v="16"/>
    <x v="0"/>
    <n v="8"/>
    <m/>
    <m/>
    <n v="14"/>
    <n v="0"/>
    <x v="0"/>
    <n v="0"/>
    <n v="0"/>
    <n v="1"/>
  </r>
  <r>
    <s v="GoHealth"/>
    <x v="16"/>
    <x v="0"/>
    <n v="6"/>
    <m/>
    <m/>
    <n v="12"/>
    <n v="0"/>
    <x v="0"/>
    <n v="0"/>
    <n v="0"/>
    <n v="1"/>
  </r>
  <r>
    <s v="Independence Blue Cross"/>
    <x v="16"/>
    <x v="8"/>
    <n v="7"/>
    <m/>
    <m/>
    <n v="19"/>
    <n v="0"/>
    <x v="0"/>
    <n v="0"/>
    <n v="0"/>
    <n v="1"/>
  </r>
  <r>
    <s v="Oscar Health"/>
    <x v="16"/>
    <x v="5"/>
    <n v="0"/>
    <m/>
    <m/>
    <n v="16"/>
    <n v="0"/>
    <x v="0"/>
    <n v="0"/>
    <n v="0"/>
    <n v="0"/>
  </r>
  <r>
    <s v="Premera Blue Cross"/>
    <x v="16"/>
    <x v="8"/>
    <n v="0"/>
    <m/>
    <m/>
    <n v="12"/>
    <n v="0"/>
    <x v="0"/>
    <n v="0"/>
    <n v="0"/>
    <n v="0"/>
  </r>
  <r>
    <s v="UCare"/>
    <x v="16"/>
    <x v="8"/>
    <n v="5"/>
    <m/>
    <m/>
    <n v="17"/>
    <n v="0"/>
    <x v="0"/>
    <n v="0"/>
    <n v="0"/>
    <n v="1"/>
  </r>
  <r>
    <s v="UnitedHealthcare"/>
    <x v="16"/>
    <x v="9"/>
    <n v="4"/>
    <m/>
    <m/>
    <n v="8"/>
    <n v="0"/>
    <x v="0"/>
    <n v="0"/>
    <n v="0"/>
    <n v="1"/>
  </r>
  <r>
    <s v="WellCare Health Plans"/>
    <x v="16"/>
    <x v="0"/>
    <n v="6"/>
    <m/>
    <m/>
    <n v="12"/>
    <n v="0"/>
    <x v="0"/>
    <n v="0"/>
    <n v="0"/>
    <n v="1"/>
  </r>
  <r>
    <s v="American Income Life"/>
    <x v="64"/>
    <x v="45"/>
    <n v="0"/>
    <m/>
    <m/>
    <n v="52"/>
    <n v="0"/>
    <x v="0"/>
    <n v="0"/>
    <n v="0"/>
    <n v="0"/>
  </r>
  <r>
    <s v="Genworth Financial, Inc."/>
    <x v="64"/>
    <x v="8"/>
    <n v="0"/>
    <m/>
    <m/>
    <n v="12"/>
    <n v="0"/>
    <x v="0"/>
    <n v="0"/>
    <n v="0"/>
    <n v="0"/>
  </r>
  <r>
    <s v="GuardianLife"/>
    <x v="64"/>
    <x v="32"/>
    <n v="7"/>
    <m/>
    <m/>
    <n v="14"/>
    <n v="0"/>
    <x v="0"/>
    <n v="0"/>
    <n v="0"/>
    <n v="1"/>
  </r>
  <r>
    <s v="MetLife"/>
    <x v="64"/>
    <x v="1"/>
    <n v="0"/>
    <m/>
    <m/>
    <n v="5"/>
    <n v="0"/>
    <x v="0"/>
    <n v="0"/>
    <n v="0"/>
    <n v="0"/>
  </r>
  <r>
    <s v="National Benefit Life Insurance"/>
    <x v="64"/>
    <x v="35"/>
    <n v="15"/>
    <m/>
    <m/>
    <n v="28"/>
    <n v="0"/>
    <x v="0"/>
    <n v="0"/>
    <n v="0"/>
    <n v="1"/>
  </r>
  <r>
    <s v="New York Life Insurance Company"/>
    <x v="64"/>
    <x v="8"/>
    <n v="12"/>
    <m/>
    <m/>
    <n v="24"/>
    <n v="0"/>
    <x v="0"/>
    <n v="0"/>
    <n v="0"/>
    <n v="1"/>
  </r>
  <r>
    <s v="Prudential Financial"/>
    <x v="64"/>
    <x v="24"/>
    <n v="16"/>
    <m/>
    <m/>
    <n v="26"/>
    <n v="0"/>
    <x v="0"/>
    <n v="0"/>
    <n v="0"/>
    <n v="1"/>
  </r>
  <r>
    <s v="Unum"/>
    <x v="64"/>
    <x v="0"/>
    <n v="23"/>
    <m/>
    <m/>
    <n v="29"/>
    <n v="0"/>
    <x v="0"/>
    <n v="0"/>
    <n v="0"/>
    <n v="1"/>
  </r>
  <r>
    <s v="Allstate Insurance Company"/>
    <x v="65"/>
    <x v="0"/>
    <n v="0"/>
    <m/>
    <m/>
    <n v="6"/>
    <n v="0"/>
    <x v="0"/>
    <n v="0"/>
    <n v="0"/>
    <n v="0"/>
  </r>
  <r>
    <s v="American Family Insurance"/>
    <x v="65"/>
    <x v="8"/>
    <n v="2"/>
    <m/>
    <m/>
    <n v="14"/>
    <n v="0"/>
    <x v="0"/>
    <n v="0"/>
    <n v="0"/>
    <n v="1"/>
  </r>
  <r>
    <s v="Assurant, Inc."/>
    <x v="65"/>
    <x v="9"/>
    <n v="2"/>
    <m/>
    <m/>
    <n v="6"/>
    <n v="0"/>
    <x v="0"/>
    <n v="0"/>
    <n v="0"/>
    <n v="1"/>
  </r>
  <r>
    <s v="Farmers Insurance"/>
    <x v="65"/>
    <x v="8"/>
    <n v="16"/>
    <m/>
    <m/>
    <n v="28"/>
    <n v="0"/>
    <x v="0"/>
    <n v="0"/>
    <n v="0"/>
    <n v="1"/>
  </r>
  <r>
    <s v="FM Global"/>
    <x v="65"/>
    <x v="9"/>
    <n v="2"/>
    <m/>
    <m/>
    <n v="6"/>
    <n v="0"/>
    <x v="0"/>
    <n v="0"/>
    <n v="0"/>
    <n v="1"/>
  </r>
  <r>
    <s v="GEICO"/>
    <x v="65"/>
    <x v="24"/>
    <n v="0"/>
    <m/>
    <m/>
    <n v="10"/>
    <n v="0"/>
    <x v="0"/>
    <n v="0"/>
    <n v="0"/>
    <n v="0"/>
  </r>
  <r>
    <s v="IAT Insurance Group"/>
    <x v="65"/>
    <x v="22"/>
    <n v="12"/>
    <m/>
    <m/>
    <n v="14"/>
    <n v="0"/>
    <x v="0"/>
    <n v="0"/>
    <n v="0"/>
    <n v="1"/>
  </r>
  <r>
    <s v="Intact Financial Corporation"/>
    <x v="65"/>
    <x v="45"/>
    <n v="0"/>
    <m/>
    <m/>
    <n v="52"/>
    <n v="0"/>
    <x v="0"/>
    <n v="0"/>
    <n v="0"/>
    <n v="0"/>
  </r>
  <r>
    <s v="Liberty Mutual Insurance"/>
    <x v="65"/>
    <x v="5"/>
    <n v="0"/>
    <m/>
    <m/>
    <n v="16"/>
    <n v="0"/>
    <x v="0"/>
    <n v="0"/>
    <n v="0"/>
    <n v="0"/>
  </r>
  <r>
    <s v="Progressive Corporation"/>
    <x v="65"/>
    <x v="16"/>
    <n v="16"/>
    <m/>
    <m/>
    <n v="23.5"/>
    <n v="0"/>
    <x v="0"/>
    <n v="0"/>
    <n v="0"/>
    <n v="1"/>
  </r>
  <r>
    <s v="Selective Insurance"/>
    <x v="65"/>
    <x v="22"/>
    <n v="12"/>
    <m/>
    <m/>
    <n v="14"/>
    <n v="0"/>
    <x v="0"/>
    <n v="0"/>
    <n v="0"/>
    <n v="1"/>
  </r>
  <r>
    <s v="The Hartford"/>
    <x v="65"/>
    <x v="41"/>
    <n v="6"/>
    <m/>
    <m/>
    <n v="10.5"/>
    <n v="0"/>
    <x v="0"/>
    <n v="0"/>
    <n v="0"/>
    <n v="1"/>
  </r>
  <r>
    <s v="Travelers"/>
    <x v="65"/>
    <x v="22"/>
    <n v="8"/>
    <m/>
    <m/>
    <n v="10"/>
    <n v="0"/>
    <x v="0"/>
    <n v="0"/>
    <n v="0"/>
    <n v="1"/>
  </r>
  <r>
    <s v="Guy Carpenter"/>
    <x v="133"/>
    <x v="4"/>
    <n v="12"/>
    <m/>
    <m/>
    <n v="20"/>
    <n v="0"/>
    <x v="0"/>
    <n v="0"/>
    <n v="0"/>
    <n v="1"/>
  </r>
  <r>
    <s v="Burr &amp; Forman LLP"/>
    <x v="66"/>
    <x v="9"/>
    <n v="4"/>
    <m/>
    <m/>
    <n v="8"/>
    <n v="0"/>
    <x v="0"/>
    <n v="0"/>
    <n v="0"/>
    <n v="1"/>
  </r>
  <r>
    <s v="Cleary Gottlieb Steen &amp; Hamilton LLP"/>
    <x v="66"/>
    <x v="5"/>
    <n v="26"/>
    <m/>
    <m/>
    <n v="42"/>
    <n v="0"/>
    <x v="0"/>
    <n v="0"/>
    <n v="0"/>
    <n v="1"/>
  </r>
  <r>
    <s v="Cooley LLP"/>
    <x v="66"/>
    <x v="14"/>
    <n v="12"/>
    <m/>
    <m/>
    <n v="36"/>
    <n v="0"/>
    <x v="0"/>
    <n v="0"/>
    <n v="0"/>
    <n v="1"/>
  </r>
  <r>
    <s v="Correia &amp; Puth, PLLC"/>
    <x v="66"/>
    <x v="0"/>
    <n v="10"/>
    <m/>
    <m/>
    <n v="16"/>
    <n v="0"/>
    <x v="0"/>
    <n v="0"/>
    <n v="0"/>
    <n v="1"/>
  </r>
  <r>
    <s v="Covington &amp; Burling LLP"/>
    <x v="66"/>
    <x v="5"/>
    <n v="0"/>
    <m/>
    <m/>
    <n v="16"/>
    <n v="0"/>
    <x v="0"/>
    <n v="0"/>
    <n v="0"/>
    <n v="0"/>
  </r>
  <r>
    <s v="Crowell &amp; Moring"/>
    <x v="66"/>
    <x v="9"/>
    <n v="0"/>
    <m/>
    <m/>
    <n v="4"/>
    <n v="0"/>
    <x v="0"/>
    <n v="0"/>
    <n v="0"/>
    <n v="0"/>
  </r>
  <r>
    <s v="Davis &amp; Santos"/>
    <x v="66"/>
    <x v="6"/>
    <n v="2"/>
    <m/>
    <m/>
    <n v="5"/>
    <n v="0"/>
    <x v="0"/>
    <n v="0"/>
    <n v="0"/>
    <n v="1"/>
  </r>
  <r>
    <s v="Desmarais LLP"/>
    <x v="66"/>
    <x v="8"/>
    <n v="0"/>
    <m/>
    <m/>
    <n v="12"/>
    <n v="0"/>
    <x v="0"/>
    <n v="0"/>
    <n v="0"/>
    <n v="0"/>
  </r>
  <r>
    <s v="Entwistle &amp; Cappucci LLC"/>
    <x v="66"/>
    <x v="4"/>
    <n v="10"/>
    <m/>
    <m/>
    <n v="18"/>
    <n v="0"/>
    <x v="0"/>
    <n v="0"/>
    <n v="0"/>
    <n v="1"/>
  </r>
  <r>
    <s v="Fox Rothschild LLP"/>
    <x v="66"/>
    <x v="8"/>
    <n v="0"/>
    <m/>
    <m/>
    <n v="12"/>
    <n v="0"/>
    <x v="0"/>
    <n v="0"/>
    <n v="0"/>
    <n v="0"/>
  </r>
  <r>
    <s v="Fragomen"/>
    <x v="66"/>
    <x v="0"/>
    <n v="6"/>
    <m/>
    <m/>
    <n v="12"/>
    <n v="0"/>
    <x v="0"/>
    <n v="0"/>
    <n v="0"/>
    <n v="1"/>
  </r>
  <r>
    <s v="Hogan Lovells"/>
    <x v="66"/>
    <x v="23"/>
    <n v="6"/>
    <m/>
    <m/>
    <n v="26"/>
    <n v="0"/>
    <x v="0"/>
    <n v="0"/>
    <n v="0"/>
    <n v="1"/>
  </r>
  <r>
    <s v="Hudson Cook"/>
    <x v="66"/>
    <x v="0"/>
    <n v="0"/>
    <m/>
    <m/>
    <n v="6"/>
    <n v="0"/>
    <x v="0"/>
    <n v="0"/>
    <n v="0"/>
    <n v="0"/>
  </r>
  <r>
    <s v="Kirkland &amp; Ellis LLP"/>
    <x v="66"/>
    <x v="11"/>
    <n v="0"/>
    <m/>
    <m/>
    <n v="18"/>
    <n v="0"/>
    <x v="0"/>
    <n v="0"/>
    <n v="0"/>
    <n v="0"/>
  </r>
  <r>
    <s v="Latham &amp; Watkins LLP"/>
    <x v="66"/>
    <x v="8"/>
    <n v="0"/>
    <m/>
    <m/>
    <n v="12"/>
    <n v="0"/>
    <x v="0"/>
    <n v="0"/>
    <n v="0"/>
    <n v="0"/>
  </r>
  <r>
    <s v="Lathrop GPM LLP"/>
    <x v="66"/>
    <x v="5"/>
    <n v="0"/>
    <m/>
    <m/>
    <n v="16"/>
    <n v="0"/>
    <x v="0"/>
    <n v="0"/>
    <n v="0"/>
    <n v="0"/>
  </r>
  <r>
    <s v="Linklaters LLP"/>
    <x v="66"/>
    <x v="11"/>
    <n v="0"/>
    <m/>
    <m/>
    <n v="18"/>
    <n v="0"/>
    <x v="0"/>
    <n v="0"/>
    <n v="0"/>
    <n v="0"/>
  </r>
  <r>
    <s v="Littler Mendelson P.C."/>
    <x v="66"/>
    <x v="8"/>
    <n v="0"/>
    <m/>
    <m/>
    <n v="12"/>
    <n v="0"/>
    <x v="0"/>
    <n v="0"/>
    <n v="0"/>
    <n v="0"/>
  </r>
  <r>
    <s v="Manatt, Phelps &amp; Phillips, LLP"/>
    <x v="66"/>
    <x v="8"/>
    <n v="29"/>
    <m/>
    <m/>
    <n v="41"/>
    <n v="0"/>
    <x v="0"/>
    <n v="0"/>
    <n v="0"/>
    <n v="1"/>
  </r>
  <r>
    <s v="Mayer Brown"/>
    <x v="66"/>
    <x v="7"/>
    <m/>
    <n v="0"/>
    <m/>
    <n v="0"/>
    <n v="0"/>
    <x v="1"/>
    <n v="0"/>
    <n v="0"/>
    <n v="0"/>
  </r>
  <r>
    <s v="McLane Middleton PA"/>
    <x v="66"/>
    <x v="0"/>
    <n v="6"/>
    <m/>
    <m/>
    <n v="12"/>
    <n v="0"/>
    <x v="0"/>
    <n v="0"/>
    <n v="0"/>
    <n v="1"/>
  </r>
  <r>
    <s v="Mintz Levin Cohn Ferris Glovsky and Popeo PC"/>
    <x v="66"/>
    <x v="37"/>
    <n v="0"/>
    <m/>
    <m/>
    <n v="17"/>
    <n v="0"/>
    <x v="0"/>
    <n v="0"/>
    <n v="0"/>
    <n v="0"/>
  </r>
  <r>
    <s v="Schlam Stone &amp; Dolan"/>
    <x v="66"/>
    <x v="8"/>
    <n v="4"/>
    <m/>
    <m/>
    <n v="16"/>
    <n v="0"/>
    <x v="0"/>
    <n v="0"/>
    <n v="0"/>
    <n v="1"/>
  </r>
  <r>
    <s v="Simpson Thacher &amp; Bartlett LLP"/>
    <x v="66"/>
    <x v="5"/>
    <n v="10"/>
    <m/>
    <m/>
    <n v="26"/>
    <n v="0"/>
    <x v="0"/>
    <n v="0"/>
    <n v="0"/>
    <n v="1"/>
  </r>
  <r>
    <s v="Veritas Law"/>
    <x v="66"/>
    <x v="45"/>
    <n v="0"/>
    <m/>
    <m/>
    <n v="52"/>
    <n v="0"/>
    <x v="0"/>
    <n v="0"/>
    <n v="0"/>
    <n v="0"/>
  </r>
  <r>
    <s v="Wynyard Wood"/>
    <x v="66"/>
    <x v="20"/>
    <n v="52"/>
    <m/>
    <m/>
    <n v="78"/>
    <n v="0"/>
    <x v="0"/>
    <n v="0"/>
    <n v="0"/>
    <n v="1"/>
  </r>
  <r>
    <s v="HBR Consulting"/>
    <x v="134"/>
    <x v="9"/>
    <n v="3"/>
    <m/>
    <m/>
    <n v="7"/>
    <n v="0"/>
    <x v="0"/>
    <n v="0"/>
    <n v="0"/>
    <n v="1"/>
  </r>
  <r>
    <s v="Cruise Planners"/>
    <x v="67"/>
    <x v="6"/>
    <n v="0"/>
    <m/>
    <m/>
    <n v="3"/>
    <n v="0"/>
    <x v="0"/>
    <n v="0"/>
    <n v="0"/>
    <n v="0"/>
  </r>
  <r>
    <s v="Royal Caribbean International"/>
    <x v="67"/>
    <x v="9"/>
    <n v="2"/>
    <m/>
    <m/>
    <n v="6"/>
    <n v="0"/>
    <x v="0"/>
    <n v="0"/>
    <n v="0"/>
    <n v="1"/>
  </r>
  <r>
    <s v="VRBO"/>
    <x v="67"/>
    <x v="11"/>
    <n v="0"/>
    <m/>
    <m/>
    <n v="18"/>
    <n v="0"/>
    <x v="0"/>
    <n v="0"/>
    <n v="0"/>
    <n v="0"/>
  </r>
  <r>
    <s v="BrightTALK"/>
    <x v="135"/>
    <x v="8"/>
    <n v="12"/>
    <m/>
    <m/>
    <n v="24"/>
    <n v="0"/>
    <x v="0"/>
    <n v="0"/>
    <n v="0"/>
    <n v="1"/>
  </r>
  <r>
    <s v="CondŽ Nast"/>
    <x v="68"/>
    <x v="9"/>
    <n v="0"/>
    <m/>
    <m/>
    <n v="4"/>
    <n v="0"/>
    <x v="0"/>
    <n v="0"/>
    <n v="0"/>
    <n v="0"/>
  </r>
  <r>
    <s v="Meredith"/>
    <x v="68"/>
    <x v="8"/>
    <n v="12"/>
    <m/>
    <m/>
    <n v="24"/>
    <n v="0"/>
    <x v="0"/>
    <n v="0"/>
    <n v="0"/>
    <n v="1"/>
  </r>
  <r>
    <s v="NBCUniversal"/>
    <x v="68"/>
    <x v="5"/>
    <n v="4"/>
    <m/>
    <m/>
    <n v="20"/>
    <n v="0"/>
    <x v="0"/>
    <n v="0"/>
    <n v="0"/>
    <n v="1"/>
  </r>
  <r>
    <s v="Quartz"/>
    <x v="68"/>
    <x v="22"/>
    <n v="0"/>
    <m/>
    <m/>
    <n v="2"/>
    <n v="0"/>
    <x v="0"/>
    <n v="0"/>
    <n v="0"/>
    <n v="0"/>
  </r>
  <r>
    <s v="Sky PLC"/>
    <x v="68"/>
    <x v="20"/>
    <m/>
    <n v="6"/>
    <m/>
    <n v="26"/>
    <n v="6"/>
    <x v="0"/>
    <n v="1"/>
    <n v="0"/>
    <n v="0"/>
  </r>
  <r>
    <s v="Thomson Reuters"/>
    <x v="68"/>
    <x v="8"/>
    <n v="10"/>
    <m/>
    <m/>
    <n v="22"/>
    <n v="0"/>
    <x v="0"/>
    <n v="0"/>
    <n v="0"/>
    <n v="1"/>
  </r>
  <r>
    <s v="Townsquare Media"/>
    <x v="68"/>
    <x v="8"/>
    <n v="0"/>
    <m/>
    <m/>
    <n v="12"/>
    <n v="0"/>
    <x v="0"/>
    <n v="0"/>
    <n v="0"/>
    <n v="0"/>
  </r>
  <r>
    <s v="Viacom Inc."/>
    <x v="68"/>
    <x v="24"/>
    <n v="2.5"/>
    <m/>
    <m/>
    <n v="12.5"/>
    <n v="0"/>
    <x v="0"/>
    <n v="0"/>
    <n v="0"/>
    <n v="1"/>
  </r>
  <r>
    <s v="ViacomCBS"/>
    <x v="68"/>
    <x v="9"/>
    <n v="6"/>
    <m/>
    <m/>
    <n v="10"/>
    <n v="0"/>
    <x v="0"/>
    <n v="0"/>
    <n v="0"/>
    <n v="1"/>
  </r>
  <r>
    <s v="WGBH"/>
    <x v="68"/>
    <x v="9"/>
    <n v="12"/>
    <m/>
    <m/>
    <n v="16"/>
    <n v="0"/>
    <x v="0"/>
    <n v="0"/>
    <n v="0"/>
    <n v="1"/>
  </r>
  <r>
    <s v="Cinemark"/>
    <x v="136"/>
    <x v="38"/>
    <n v="12"/>
    <m/>
    <m/>
    <n v="13"/>
    <n v="0"/>
    <x v="0"/>
    <n v="0"/>
    <n v="0"/>
    <n v="1"/>
  </r>
  <r>
    <s v="Lionsgate"/>
    <x v="136"/>
    <x v="23"/>
    <n v="0"/>
    <m/>
    <m/>
    <n v="20"/>
    <n v="0"/>
    <x v="0"/>
    <n v="0"/>
    <n v="0"/>
    <n v="0"/>
  </r>
  <r>
    <s v="Madison Square Garden"/>
    <x v="136"/>
    <x v="8"/>
    <n v="0"/>
    <m/>
    <m/>
    <n v="12"/>
    <n v="0"/>
    <x v="0"/>
    <n v="0"/>
    <n v="0"/>
    <n v="0"/>
  </r>
  <r>
    <s v="Showtime"/>
    <x v="136"/>
    <x v="8"/>
    <n v="3"/>
    <m/>
    <m/>
    <n v="15"/>
    <n v="0"/>
    <x v="0"/>
    <n v="0"/>
    <n v="0"/>
    <n v="1"/>
  </r>
  <r>
    <s v="Spins"/>
    <x v="137"/>
    <x v="0"/>
    <n v="0"/>
    <m/>
    <m/>
    <n v="6"/>
    <n v="0"/>
    <x v="0"/>
    <n v="0"/>
    <n v="0"/>
    <n v="0"/>
  </r>
  <r>
    <s v="The Atlantic"/>
    <x v="137"/>
    <x v="8"/>
    <n v="4"/>
    <m/>
    <m/>
    <n v="16"/>
    <n v="0"/>
    <x v="0"/>
    <n v="0"/>
    <n v="0"/>
    <n v="1"/>
  </r>
  <r>
    <s v="Business Insider"/>
    <x v="138"/>
    <x v="8"/>
    <n v="0"/>
    <m/>
    <m/>
    <n v="12"/>
    <n v="0"/>
    <x v="0"/>
    <n v="0"/>
    <n v="0"/>
    <n v="0"/>
  </r>
  <r>
    <s v="Dow Jones"/>
    <x v="138"/>
    <x v="23"/>
    <n v="12"/>
    <m/>
    <m/>
    <n v="32"/>
    <n v="0"/>
    <x v="0"/>
    <n v="0"/>
    <n v="0"/>
    <n v="1"/>
  </r>
  <r>
    <s v="Forbes"/>
    <x v="138"/>
    <x v="8"/>
    <n v="0"/>
    <m/>
    <m/>
    <n v="12"/>
    <n v="0"/>
    <x v="0"/>
    <n v="0"/>
    <n v="0"/>
    <n v="0"/>
  </r>
  <r>
    <s v="Gannett"/>
    <x v="138"/>
    <x v="22"/>
    <n v="12"/>
    <m/>
    <m/>
    <n v="14"/>
    <n v="0"/>
    <x v="0"/>
    <n v="0"/>
    <n v="0"/>
    <n v="1"/>
  </r>
  <r>
    <s v="New York Times"/>
    <x v="138"/>
    <x v="5"/>
    <n v="16"/>
    <m/>
    <m/>
    <n v="32"/>
    <n v="0"/>
    <x v="0"/>
    <n v="0"/>
    <n v="0"/>
    <n v="1"/>
  </r>
  <r>
    <s v="The New York Times Company"/>
    <x v="138"/>
    <x v="23"/>
    <n v="20"/>
    <m/>
    <m/>
    <n v="40"/>
    <n v="0"/>
    <x v="0"/>
    <n v="0"/>
    <n v="0"/>
    <n v="1"/>
  </r>
  <r>
    <s v="Washington Post"/>
    <x v="138"/>
    <x v="11"/>
    <n v="0"/>
    <m/>
    <m/>
    <n v="18"/>
    <n v="0"/>
    <x v="0"/>
    <n v="0"/>
    <n v="0"/>
    <n v="0"/>
  </r>
  <r>
    <s v="Public Broadcasting Service"/>
    <x v="17"/>
    <x v="8"/>
    <n v="0"/>
    <m/>
    <m/>
    <n v="12"/>
    <n v="0"/>
    <x v="0"/>
    <n v="0"/>
    <n v="0"/>
    <n v="0"/>
  </r>
  <r>
    <s v="Sinclair Broadcast Group"/>
    <x v="17"/>
    <x v="0"/>
    <n v="0"/>
    <m/>
    <m/>
    <n v="6"/>
    <n v="0"/>
    <x v="0"/>
    <n v="0"/>
    <n v="0"/>
    <n v="0"/>
  </r>
  <r>
    <s v="ASML"/>
    <x v="139"/>
    <x v="45"/>
    <n v="40"/>
    <m/>
    <m/>
    <n v="92"/>
    <n v="0"/>
    <x v="0"/>
    <n v="0"/>
    <n v="0"/>
    <n v="1"/>
  </r>
  <r>
    <s v="INK Communications Co."/>
    <x v="139"/>
    <x v="24"/>
    <n v="2"/>
    <m/>
    <m/>
    <n v="12"/>
    <n v="0"/>
    <x v="0"/>
    <n v="0"/>
    <n v="0"/>
    <n v="1"/>
  </r>
  <r>
    <s v="Rokt"/>
    <x v="139"/>
    <x v="12"/>
    <n v="0"/>
    <m/>
    <m/>
    <n v="15"/>
    <n v="0"/>
    <x v="0"/>
    <n v="0"/>
    <n v="0"/>
    <n v="0"/>
  </r>
  <r>
    <s v="Bunge North America"/>
    <x v="69"/>
    <x v="7"/>
    <n v="6"/>
    <m/>
    <m/>
    <n v="6"/>
    <n v="0"/>
    <x v="1"/>
    <n v="0"/>
    <n v="0"/>
    <n v="1"/>
  </r>
  <r>
    <s v="Pilgrim's Pride"/>
    <x v="69"/>
    <x v="0"/>
    <n v="0"/>
    <m/>
    <m/>
    <n v="6"/>
    <n v="0"/>
    <x v="0"/>
    <n v="0"/>
    <n v="0"/>
    <n v="0"/>
  </r>
  <r>
    <s v="Tate &amp; Lyle"/>
    <x v="69"/>
    <x v="3"/>
    <n v="13"/>
    <m/>
    <m/>
    <n v="33.5"/>
    <n v="0"/>
    <x v="0"/>
    <n v="0"/>
    <n v="0"/>
    <n v="1"/>
  </r>
  <r>
    <s v="CHS Inc."/>
    <x v="140"/>
    <x v="7"/>
    <n v="16"/>
    <m/>
    <m/>
    <n v="16"/>
    <n v="0"/>
    <x v="1"/>
    <n v="0"/>
    <n v="0"/>
    <n v="1"/>
  </r>
  <r>
    <s v="Air Products &amp; Chemicals, Inc."/>
    <x v="70"/>
    <x v="9"/>
    <n v="8"/>
    <m/>
    <m/>
    <n v="12"/>
    <n v="0"/>
    <x v="0"/>
    <n v="0"/>
    <n v="0"/>
    <n v="1"/>
  </r>
  <r>
    <s v="AkzoNobel Global"/>
    <x v="70"/>
    <x v="8"/>
    <n v="12"/>
    <m/>
    <m/>
    <n v="24"/>
    <n v="0"/>
    <x v="0"/>
    <n v="0"/>
    <n v="0"/>
    <n v="1"/>
  </r>
  <r>
    <s v="Albemarle Corporation"/>
    <x v="70"/>
    <x v="32"/>
    <n v="5"/>
    <m/>
    <m/>
    <n v="12"/>
    <n v="0"/>
    <x v="0"/>
    <n v="0"/>
    <n v="0"/>
    <n v="1"/>
  </r>
  <r>
    <s v="Ashland, Inc."/>
    <x v="70"/>
    <x v="0"/>
    <n v="18"/>
    <m/>
    <m/>
    <n v="24"/>
    <n v="0"/>
    <x v="0"/>
    <n v="0"/>
    <n v="0"/>
    <n v="1"/>
  </r>
  <r>
    <s v="DuPont"/>
    <x v="70"/>
    <x v="5"/>
    <n v="12"/>
    <m/>
    <m/>
    <n v="28"/>
    <n v="0"/>
    <x v="0"/>
    <n v="0"/>
    <n v="0"/>
    <n v="1"/>
  </r>
  <r>
    <s v="Eastman Chemical Company"/>
    <x v="70"/>
    <x v="9"/>
    <n v="6"/>
    <m/>
    <m/>
    <n v="10"/>
    <n v="0"/>
    <x v="0"/>
    <n v="0"/>
    <n v="0"/>
    <n v="1"/>
  </r>
  <r>
    <s v="LyondellBasell"/>
    <x v="70"/>
    <x v="7"/>
    <n v="12"/>
    <m/>
    <m/>
    <n v="12"/>
    <n v="0"/>
    <x v="1"/>
    <n v="0"/>
    <n v="0"/>
    <n v="1"/>
  </r>
  <r>
    <s v="Nalco, An Ecolab Company"/>
    <x v="70"/>
    <x v="14"/>
    <n v="0"/>
    <m/>
    <m/>
    <n v="24"/>
    <n v="0"/>
    <x v="0"/>
    <n v="0"/>
    <n v="0"/>
    <n v="0"/>
  </r>
  <r>
    <s v="Nutrien"/>
    <x v="70"/>
    <x v="8"/>
    <n v="26"/>
    <m/>
    <m/>
    <n v="38"/>
    <n v="0"/>
    <x v="0"/>
    <n v="0"/>
    <n v="0"/>
    <n v="1"/>
  </r>
  <r>
    <s v="Solvay S.A."/>
    <x v="70"/>
    <x v="5"/>
    <n v="12"/>
    <m/>
    <m/>
    <n v="28"/>
    <n v="0"/>
    <x v="0"/>
    <n v="0"/>
    <n v="0"/>
    <n v="1"/>
  </r>
  <r>
    <s v="Syngenta Flowers"/>
    <x v="70"/>
    <x v="0"/>
    <n v="0"/>
    <m/>
    <m/>
    <n v="6"/>
    <n v="0"/>
    <x v="0"/>
    <n v="0"/>
    <n v="0"/>
    <n v="0"/>
  </r>
  <r>
    <s v="CLEAResult"/>
    <x v="141"/>
    <x v="22"/>
    <n v="10"/>
    <m/>
    <m/>
    <n v="12"/>
    <n v="0"/>
    <x v="0"/>
    <n v="0"/>
    <n v="0"/>
    <n v="1"/>
  </r>
  <r>
    <s v="Consolidated Edison Inc."/>
    <x v="141"/>
    <x v="24"/>
    <n v="16"/>
    <m/>
    <m/>
    <n v="26"/>
    <n v="0"/>
    <x v="0"/>
    <n v="0"/>
    <n v="0"/>
    <n v="1"/>
  </r>
  <r>
    <s v="Entergy Corporation"/>
    <x v="141"/>
    <x v="0"/>
    <n v="0"/>
    <m/>
    <m/>
    <n v="6"/>
    <n v="0"/>
    <x v="0"/>
    <n v="0"/>
    <n v="0"/>
    <n v="0"/>
  </r>
  <r>
    <s v="NRG Energy, Inc."/>
    <x v="141"/>
    <x v="0"/>
    <n v="6"/>
    <m/>
    <m/>
    <n v="12"/>
    <n v="0"/>
    <x v="0"/>
    <n v="0"/>
    <n v="0"/>
    <n v="1"/>
  </r>
  <r>
    <s v="Eversource"/>
    <x v="71"/>
    <x v="4"/>
    <n v="4"/>
    <m/>
    <m/>
    <n v="12"/>
    <n v="0"/>
    <x v="0"/>
    <n v="0"/>
    <n v="0"/>
    <n v="1"/>
  </r>
  <r>
    <s v="GE Power"/>
    <x v="71"/>
    <x v="14"/>
    <n v="20"/>
    <m/>
    <m/>
    <n v="44"/>
    <n v="0"/>
    <x v="0"/>
    <n v="0"/>
    <n v="0"/>
    <n v="1"/>
  </r>
  <r>
    <s v="National Grid plc"/>
    <x v="71"/>
    <x v="20"/>
    <n v="13"/>
    <m/>
    <m/>
    <n v="39"/>
    <n v="0"/>
    <x v="0"/>
    <n v="0"/>
    <n v="0"/>
    <n v="1"/>
  </r>
  <r>
    <s v="NiSource"/>
    <x v="71"/>
    <x v="20"/>
    <n v="26"/>
    <m/>
    <m/>
    <n v="52"/>
    <n v="0"/>
    <x v="0"/>
    <n v="0"/>
    <n v="0"/>
    <n v="1"/>
  </r>
  <r>
    <s v="Sempra Energy"/>
    <x v="71"/>
    <x v="8"/>
    <n v="0"/>
    <m/>
    <m/>
    <n v="12"/>
    <n v="0"/>
    <x v="0"/>
    <n v="0"/>
    <n v="0"/>
    <n v="0"/>
  </r>
  <r>
    <s v="Williams"/>
    <x v="71"/>
    <x v="44"/>
    <n v="0"/>
    <m/>
    <m/>
    <n v="10.5"/>
    <n v="0"/>
    <x v="0"/>
    <n v="0"/>
    <n v="0"/>
    <n v="0"/>
  </r>
  <r>
    <s v="American Electric Power Company, Inc."/>
    <x v="72"/>
    <x v="4"/>
    <m/>
    <n v="2"/>
    <m/>
    <n v="8"/>
    <n v="2"/>
    <x v="0"/>
    <n v="1"/>
    <n v="0"/>
    <n v="0"/>
  </r>
  <r>
    <s v="Duke Energy"/>
    <x v="72"/>
    <x v="35"/>
    <n v="1.5"/>
    <m/>
    <m/>
    <n v="14.5"/>
    <n v="0"/>
    <x v="0"/>
    <n v="0"/>
    <n v="0"/>
    <n v="1"/>
  </r>
  <r>
    <s v="Exelon Corporation"/>
    <x v="72"/>
    <x v="5"/>
    <n v="24"/>
    <m/>
    <m/>
    <n v="40"/>
    <n v="0"/>
    <x v="0"/>
    <n v="0"/>
    <n v="0"/>
    <n v="1"/>
  </r>
  <r>
    <s v="Pacific Gas and Electric Company"/>
    <x v="72"/>
    <x v="8"/>
    <n v="26"/>
    <m/>
    <m/>
    <n v="38"/>
    <n v="0"/>
    <x v="0"/>
    <n v="0"/>
    <n v="0"/>
    <n v="1"/>
  </r>
  <r>
    <s v="Southern California Edison"/>
    <x v="72"/>
    <x v="4"/>
    <n v="12"/>
    <m/>
    <m/>
    <n v="20"/>
    <n v="0"/>
    <x v="0"/>
    <n v="0"/>
    <n v="0"/>
    <n v="1"/>
  </r>
  <r>
    <s v="Freeport-McMoRan"/>
    <x v="18"/>
    <x v="20"/>
    <n v="0"/>
    <m/>
    <m/>
    <n v="26"/>
    <n v="0"/>
    <x v="0"/>
    <n v="0"/>
    <n v="0"/>
    <n v="0"/>
  </r>
  <r>
    <s v="Novelis"/>
    <x v="18"/>
    <x v="4"/>
    <n v="0"/>
    <m/>
    <m/>
    <n v="8"/>
    <n v="0"/>
    <x v="0"/>
    <n v="0"/>
    <n v="0"/>
    <n v="0"/>
  </r>
  <r>
    <s v="Enbridge, Inc."/>
    <x v="73"/>
    <x v="0"/>
    <n v="12"/>
    <m/>
    <m/>
    <n v="18"/>
    <n v="0"/>
    <x v="0"/>
    <n v="0"/>
    <n v="0"/>
    <n v="1"/>
  </r>
  <r>
    <s v="ExxonMobil"/>
    <x v="73"/>
    <x v="4"/>
    <n v="0"/>
    <m/>
    <m/>
    <n v="8"/>
    <n v="0"/>
    <x v="0"/>
    <n v="0"/>
    <n v="0"/>
    <n v="0"/>
  </r>
  <r>
    <s v="Marathon Petroleum Corporation"/>
    <x v="73"/>
    <x v="4"/>
    <n v="0"/>
    <m/>
    <m/>
    <n v="8"/>
    <n v="0"/>
    <x v="0"/>
    <n v="0"/>
    <n v="0"/>
    <n v="0"/>
  </r>
  <r>
    <s v="Shell Oil Company"/>
    <x v="73"/>
    <x v="5"/>
    <n v="4"/>
    <m/>
    <m/>
    <n v="20"/>
    <n v="0"/>
    <x v="0"/>
    <n v="0"/>
    <n v="0"/>
    <n v="1"/>
  </r>
  <r>
    <s v="T.D. Williamson, Inc."/>
    <x v="73"/>
    <x v="0"/>
    <n v="6"/>
    <m/>
    <m/>
    <n v="12"/>
    <n v="0"/>
    <x v="0"/>
    <n v="0"/>
    <n v="0"/>
    <n v="1"/>
  </r>
  <r>
    <s v="ASRC Energy Services"/>
    <x v="142"/>
    <x v="8"/>
    <n v="0"/>
    <m/>
    <m/>
    <n v="12"/>
    <n v="0"/>
    <x v="0"/>
    <n v="0"/>
    <n v="0"/>
    <n v="0"/>
  </r>
  <r>
    <s v="Baker Hughes"/>
    <x v="142"/>
    <x v="4"/>
    <n v="0"/>
    <m/>
    <m/>
    <n v="8"/>
    <n v="0"/>
    <x v="0"/>
    <n v="0"/>
    <n v="0"/>
    <n v="0"/>
  </r>
  <r>
    <s v="Schlumberger"/>
    <x v="142"/>
    <x v="15"/>
    <n v="12"/>
    <m/>
    <m/>
    <n v="23"/>
    <n v="0"/>
    <x v="0"/>
    <n v="0"/>
    <n v="0"/>
    <n v="1"/>
  </r>
  <r>
    <s v="Save the Children"/>
    <x v="75"/>
    <x v="1"/>
    <n v="0"/>
    <m/>
    <m/>
    <n v="5"/>
    <n v="0"/>
    <x v="0"/>
    <n v="0"/>
    <n v="0"/>
    <n v="0"/>
  </r>
  <r>
    <s v="The Pew Charitable Trusts"/>
    <x v="75"/>
    <x v="0"/>
    <n v="6"/>
    <m/>
    <m/>
    <n v="12"/>
    <n v="0"/>
    <x v="0"/>
    <n v="0"/>
    <n v="0"/>
    <n v="1"/>
  </r>
  <r>
    <s v="World Vision"/>
    <x v="75"/>
    <x v="45"/>
    <n v="0"/>
    <m/>
    <m/>
    <n v="52"/>
    <n v="0"/>
    <x v="0"/>
    <n v="0"/>
    <n v="0"/>
    <n v="0"/>
  </r>
  <r>
    <s v="AARP"/>
    <x v="143"/>
    <x v="0"/>
    <n v="6"/>
    <m/>
    <m/>
    <n v="12"/>
    <n v="0"/>
    <x v="0"/>
    <n v="0"/>
    <n v="0"/>
    <n v="1"/>
  </r>
  <r>
    <s v="Convergence"/>
    <x v="143"/>
    <x v="20"/>
    <n v="26"/>
    <m/>
    <m/>
    <n v="52"/>
    <n v="0"/>
    <x v="0"/>
    <n v="0"/>
    <n v="0"/>
    <n v="1"/>
  </r>
  <r>
    <s v="Enterprise Community Partners"/>
    <x v="143"/>
    <x v="8"/>
    <n v="0"/>
    <m/>
    <m/>
    <n v="12"/>
    <n v="0"/>
    <x v="0"/>
    <n v="0"/>
    <n v="0"/>
    <n v="0"/>
  </r>
  <r>
    <s v="Help USA"/>
    <x v="143"/>
    <x v="8"/>
    <n v="12"/>
    <m/>
    <m/>
    <n v="24"/>
    <n v="0"/>
    <x v="0"/>
    <n v="0"/>
    <n v="0"/>
    <n v="1"/>
  </r>
  <r>
    <s v="National Partnership for Women &amp; Families"/>
    <x v="143"/>
    <x v="12"/>
    <n v="0"/>
    <m/>
    <m/>
    <n v="15"/>
    <n v="0"/>
    <x v="0"/>
    <n v="0"/>
    <n v="0"/>
    <n v="0"/>
  </r>
  <r>
    <s v="Project Renewal"/>
    <x v="143"/>
    <x v="7"/>
    <n v="0"/>
    <m/>
    <m/>
    <n v="0"/>
    <n v="0"/>
    <x v="1"/>
    <n v="0"/>
    <n v="0"/>
    <n v="0"/>
  </r>
  <r>
    <s v="uAspire"/>
    <x v="143"/>
    <x v="22"/>
    <n v="20"/>
    <m/>
    <m/>
    <n v="22"/>
    <n v="0"/>
    <x v="0"/>
    <n v="0"/>
    <n v="0"/>
    <n v="1"/>
  </r>
  <r>
    <s v="Washburn Center For Children"/>
    <x v="143"/>
    <x v="45"/>
    <n v="2"/>
    <m/>
    <m/>
    <n v="54"/>
    <n v="0"/>
    <x v="0"/>
    <n v="0"/>
    <n v="0"/>
    <n v="1"/>
  </r>
  <r>
    <s v="Endeavor"/>
    <x v="144"/>
    <x v="5"/>
    <n v="0"/>
    <m/>
    <m/>
    <n v="16"/>
    <n v="0"/>
    <x v="0"/>
    <n v="0"/>
    <n v="0"/>
    <n v="0"/>
  </r>
  <r>
    <s v="Achievement Network"/>
    <x v="76"/>
    <x v="8"/>
    <n v="4"/>
    <m/>
    <m/>
    <n v="16"/>
    <n v="0"/>
    <x v="0"/>
    <n v="0"/>
    <n v="0"/>
    <n v="1"/>
  </r>
  <r>
    <s v="Start Early"/>
    <x v="76"/>
    <x v="14"/>
    <m/>
    <n v="24"/>
    <m/>
    <n v="24"/>
    <n v="24"/>
    <x v="0"/>
    <n v="1"/>
    <n v="0"/>
    <n v="0"/>
  </r>
  <r>
    <s v="Teach for America"/>
    <x v="76"/>
    <x v="8"/>
    <n v="0"/>
    <m/>
    <m/>
    <n v="12"/>
    <n v="0"/>
    <x v="0"/>
    <n v="0"/>
    <n v="0"/>
    <n v="0"/>
  </r>
  <r>
    <s v="Wildwood Programs"/>
    <x v="76"/>
    <x v="8"/>
    <n v="0"/>
    <m/>
    <m/>
    <n v="12"/>
    <n v="0"/>
    <x v="0"/>
    <n v="0"/>
    <n v="0"/>
    <n v="0"/>
  </r>
  <r>
    <s v="Environmental Defense Fund"/>
    <x v="145"/>
    <x v="4"/>
    <n v="16"/>
    <m/>
    <m/>
    <n v="24"/>
    <n v="0"/>
    <x v="0"/>
    <n v="0"/>
    <n v="0"/>
    <n v="1"/>
  </r>
  <r>
    <s v="Natural Resources Defense Council"/>
    <x v="145"/>
    <x v="12"/>
    <n v="9"/>
    <m/>
    <m/>
    <n v="24"/>
    <n v="0"/>
    <x v="0"/>
    <n v="0"/>
    <n v="0"/>
    <n v="1"/>
  </r>
  <r>
    <s v="The Nature Conservancy"/>
    <x v="145"/>
    <x v="0"/>
    <n v="6"/>
    <m/>
    <m/>
    <n v="12"/>
    <n v="0"/>
    <x v="0"/>
    <n v="0"/>
    <n v="0"/>
    <n v="1"/>
  </r>
  <r>
    <s v="Financial Industry Regulatory Authority"/>
    <x v="146"/>
    <x v="8"/>
    <n v="0"/>
    <m/>
    <m/>
    <n v="12"/>
    <n v="0"/>
    <x v="0"/>
    <n v="0"/>
    <n v="0"/>
    <n v="0"/>
  </r>
  <r>
    <s v="Financial Ombudsman Service"/>
    <x v="146"/>
    <x v="20"/>
    <n v="12"/>
    <m/>
    <m/>
    <n v="38"/>
    <n v="0"/>
    <x v="0"/>
    <n v="0"/>
    <n v="0"/>
    <n v="1"/>
  </r>
  <r>
    <s v="Harvard Pilgrim Health Care"/>
    <x v="147"/>
    <x v="9"/>
    <n v="0"/>
    <m/>
    <m/>
    <n v="4"/>
    <n v="0"/>
    <x v="0"/>
    <n v="0"/>
    <n v="0"/>
    <n v="0"/>
  </r>
  <r>
    <s v="Jewish Board of Family and Children's Services"/>
    <x v="147"/>
    <x v="8"/>
    <n v="0"/>
    <m/>
    <m/>
    <n v="12"/>
    <n v="0"/>
    <x v="0"/>
    <n v="0"/>
    <n v="0"/>
    <n v="0"/>
  </r>
  <r>
    <s v="Planned Parenthood"/>
    <x v="147"/>
    <x v="0"/>
    <n v="6"/>
    <m/>
    <m/>
    <n v="12"/>
    <n v="0"/>
    <x v="0"/>
    <n v="0"/>
    <n v="0"/>
    <n v="1"/>
  </r>
  <r>
    <s v="Sanford Health"/>
    <x v="147"/>
    <x v="9"/>
    <n v="4"/>
    <m/>
    <m/>
    <n v="8"/>
    <n v="0"/>
    <x v="0"/>
    <n v="0"/>
    <n v="0"/>
    <n v="1"/>
  </r>
  <r>
    <s v="SWOG"/>
    <x v="147"/>
    <x v="0"/>
    <n v="6"/>
    <m/>
    <m/>
    <n v="12"/>
    <n v="0"/>
    <x v="0"/>
    <n v="0"/>
    <n v="0"/>
    <n v="1"/>
  </r>
  <r>
    <s v="The Task Force For Global Health"/>
    <x v="147"/>
    <x v="7"/>
    <n v="12"/>
    <m/>
    <m/>
    <n v="12"/>
    <n v="0"/>
    <x v="1"/>
    <n v="0"/>
    <n v="0"/>
    <n v="1"/>
  </r>
  <r>
    <s v="American Red Cross"/>
    <x v="148"/>
    <x v="4"/>
    <n v="8"/>
    <m/>
    <m/>
    <n v="16"/>
    <n v="0"/>
    <x v="0"/>
    <n v="0"/>
    <n v="0"/>
    <n v="1"/>
  </r>
  <r>
    <s v="International Justice Mission"/>
    <x v="149"/>
    <x v="8"/>
    <n v="12"/>
    <m/>
    <m/>
    <n v="24"/>
    <n v="0"/>
    <x v="0"/>
    <n v="0"/>
    <n v="0"/>
    <n v="1"/>
  </r>
  <r>
    <s v="Legal Aid Society - Employment Law Center"/>
    <x v="149"/>
    <x v="8"/>
    <n v="52"/>
    <m/>
    <m/>
    <n v="64"/>
    <n v="0"/>
    <x v="0"/>
    <n v="0"/>
    <n v="0"/>
    <n v="1"/>
  </r>
  <r>
    <s v="Center for Reproductive Rights"/>
    <x v="150"/>
    <x v="8"/>
    <n v="4"/>
    <m/>
    <m/>
    <n v="16"/>
    <n v="0"/>
    <x v="0"/>
    <n v="0"/>
    <n v="0"/>
    <n v="1"/>
  </r>
  <r>
    <s v="Legal Aid of North Carolina"/>
    <x v="150"/>
    <x v="0"/>
    <n v="6"/>
    <m/>
    <m/>
    <n v="12"/>
    <n v="0"/>
    <x v="0"/>
    <n v="0"/>
    <n v="0"/>
    <n v="1"/>
  </r>
  <r>
    <s v="Westbank Community Library"/>
    <x v="151"/>
    <x v="8"/>
    <n v="0"/>
    <m/>
    <m/>
    <n v="12"/>
    <n v="0"/>
    <x v="0"/>
    <n v="0"/>
    <n v="0"/>
    <n v="0"/>
  </r>
  <r>
    <s v="Camden Coalition of Healthcare Providers"/>
    <x v="152"/>
    <x v="9"/>
    <n v="12"/>
    <m/>
    <m/>
    <n v="16"/>
    <n v="0"/>
    <x v="0"/>
    <n v="0"/>
    <n v="0"/>
    <n v="1"/>
  </r>
  <r>
    <s v="MOXI, The Wolf Museum of Exploration + Innovation"/>
    <x v="153"/>
    <x v="38"/>
    <n v="12"/>
    <m/>
    <m/>
    <n v="13"/>
    <n v="0"/>
    <x v="0"/>
    <n v="0"/>
    <n v="0"/>
    <n v="1"/>
  </r>
  <r>
    <s v="The Field Museum"/>
    <x v="153"/>
    <x v="4"/>
    <n v="4"/>
    <m/>
    <m/>
    <n v="12"/>
    <n v="0"/>
    <x v="0"/>
    <n v="0"/>
    <n v="0"/>
    <n v="1"/>
  </r>
  <r>
    <s v="The World Economic Forum"/>
    <x v="154"/>
    <x v="8"/>
    <n v="6"/>
    <m/>
    <m/>
    <n v="18"/>
    <n v="0"/>
    <x v="0"/>
    <n v="0"/>
    <n v="0"/>
    <n v="1"/>
  </r>
  <r>
    <s v="Archdiocese of Chicago"/>
    <x v="19"/>
    <x v="8"/>
    <n v="12"/>
    <m/>
    <m/>
    <n v="24"/>
    <n v="0"/>
    <x v="0"/>
    <n v="0"/>
    <n v="0"/>
    <n v="1"/>
  </r>
  <r>
    <s v="Battelle Memorial Institute"/>
    <x v="79"/>
    <x v="0"/>
    <n v="0"/>
    <m/>
    <m/>
    <n v="6"/>
    <n v="0"/>
    <x v="0"/>
    <n v="0"/>
    <n v="0"/>
    <n v="0"/>
  </r>
  <r>
    <s v="Charles Stark Draper Laboratory"/>
    <x v="79"/>
    <x v="8"/>
    <n v="0"/>
    <m/>
    <m/>
    <n v="12"/>
    <n v="0"/>
    <x v="0"/>
    <n v="0"/>
    <n v="0"/>
    <n v="0"/>
  </r>
  <r>
    <s v="Education Development Center, Inc."/>
    <x v="79"/>
    <x v="8"/>
    <n v="0"/>
    <m/>
    <m/>
    <n v="12"/>
    <n v="0"/>
    <x v="0"/>
    <n v="0"/>
    <n v="0"/>
    <n v="0"/>
  </r>
  <r>
    <s v="HopeLab"/>
    <x v="79"/>
    <x v="5"/>
    <n v="0"/>
    <m/>
    <m/>
    <n v="16"/>
    <n v="0"/>
    <x v="0"/>
    <n v="0"/>
    <n v="0"/>
    <n v="0"/>
  </r>
  <r>
    <s v="RTI International"/>
    <x v="79"/>
    <x v="0"/>
    <n v="6"/>
    <m/>
    <m/>
    <n v="12"/>
    <n v="0"/>
    <x v="0"/>
    <n v="0"/>
    <n v="0"/>
    <n v="1"/>
  </r>
  <r>
    <s v="The Leukemia &amp; Lymphoma Society"/>
    <x v="79"/>
    <x v="6"/>
    <n v="9"/>
    <m/>
    <m/>
    <n v="12"/>
    <n v="0"/>
    <x v="0"/>
    <n v="0"/>
    <n v="0"/>
    <n v="1"/>
  </r>
  <r>
    <s v="American Chemical Society"/>
    <x v="155"/>
    <x v="4"/>
    <n v="12"/>
    <m/>
    <m/>
    <n v="20"/>
    <n v="0"/>
    <x v="0"/>
    <n v="0"/>
    <n v="0"/>
    <n v="1"/>
  </r>
  <r>
    <s v="AICPA"/>
    <x v="156"/>
    <x v="24"/>
    <n v="0"/>
    <m/>
    <m/>
    <n v="10"/>
    <n v="0"/>
    <x v="0"/>
    <n v="0"/>
    <n v="0"/>
    <n v="0"/>
  </r>
  <r>
    <s v="The Georgia Society of CPAs"/>
    <x v="156"/>
    <x v="4"/>
    <n v="4"/>
    <m/>
    <m/>
    <n v="12"/>
    <n v="0"/>
    <x v="0"/>
    <n v="0"/>
    <n v="0"/>
    <n v="1"/>
  </r>
  <r>
    <s v="American Canning"/>
    <x v="157"/>
    <x v="0"/>
    <n v="6"/>
    <m/>
    <m/>
    <n v="12"/>
    <n v="0"/>
    <x v="0"/>
    <n v="0"/>
    <n v="0"/>
    <n v="1"/>
  </r>
  <r>
    <s v="Avery Dennison"/>
    <x v="157"/>
    <x v="13"/>
    <n v="0"/>
    <m/>
    <m/>
    <n v="9"/>
    <n v="0"/>
    <x v="0"/>
    <n v="0"/>
    <n v="0"/>
    <n v="0"/>
  </r>
  <r>
    <s v="AbbVie Inc."/>
    <x v="20"/>
    <x v="8"/>
    <n v="12"/>
    <m/>
    <m/>
    <n v="24"/>
    <n v="0"/>
    <x v="0"/>
    <n v="0"/>
    <n v="0"/>
    <n v="1"/>
  </r>
  <r>
    <s v="Agios Pharmaceuticals"/>
    <x v="20"/>
    <x v="4"/>
    <n v="0"/>
    <m/>
    <m/>
    <n v="8"/>
    <n v="0"/>
    <x v="0"/>
    <n v="0"/>
    <n v="0"/>
    <n v="0"/>
  </r>
  <r>
    <s v="AstraZeneca"/>
    <x v="20"/>
    <x v="0"/>
    <n v="52"/>
    <m/>
    <m/>
    <n v="58"/>
    <n v="0"/>
    <x v="0"/>
    <n v="0"/>
    <n v="0"/>
    <n v="1"/>
  </r>
  <r>
    <s v="Bayer AG"/>
    <x v="20"/>
    <x v="9"/>
    <n v="12"/>
    <m/>
    <m/>
    <n v="16"/>
    <n v="0"/>
    <x v="0"/>
    <n v="0"/>
    <n v="0"/>
    <n v="1"/>
  </r>
  <r>
    <s v="Bayer HealthCare Pharmaceuticals"/>
    <x v="20"/>
    <x v="9"/>
    <n v="1"/>
    <m/>
    <m/>
    <n v="5"/>
    <n v="0"/>
    <x v="0"/>
    <n v="0"/>
    <n v="0"/>
    <n v="1"/>
  </r>
  <r>
    <s v="Envigo"/>
    <x v="20"/>
    <x v="0"/>
    <n v="0"/>
    <m/>
    <m/>
    <n v="6"/>
    <n v="0"/>
    <x v="0"/>
    <n v="0"/>
    <n v="0"/>
    <n v="0"/>
  </r>
  <r>
    <s v="Ferring Pharmaceuticals"/>
    <x v="20"/>
    <x v="4"/>
    <n v="8"/>
    <m/>
    <m/>
    <n v="16"/>
    <n v="0"/>
    <x v="0"/>
    <n v="0"/>
    <n v="0"/>
    <n v="1"/>
  </r>
  <r>
    <s v="Kite Pharma"/>
    <x v="20"/>
    <x v="8"/>
    <n v="0"/>
    <m/>
    <m/>
    <n v="12"/>
    <n v="0"/>
    <x v="0"/>
    <n v="0"/>
    <n v="0"/>
    <n v="0"/>
  </r>
  <r>
    <s v="Merck &amp; Co., Inc."/>
    <x v="20"/>
    <x v="13"/>
    <n v="8"/>
    <m/>
    <m/>
    <n v="17"/>
    <n v="0"/>
    <x v="0"/>
    <n v="0"/>
    <n v="0"/>
    <n v="1"/>
  </r>
  <r>
    <s v="Novartis"/>
    <x v="20"/>
    <x v="35"/>
    <n v="6"/>
    <m/>
    <m/>
    <n v="19"/>
    <n v="0"/>
    <x v="0"/>
    <n v="0"/>
    <n v="0"/>
    <n v="1"/>
  </r>
  <r>
    <s v="Oceanic Pharmachem Pvt. Ltd."/>
    <x v="20"/>
    <x v="8"/>
    <n v="14"/>
    <m/>
    <m/>
    <n v="26"/>
    <n v="0"/>
    <x v="0"/>
    <n v="0"/>
    <n v="0"/>
    <n v="1"/>
  </r>
  <r>
    <s v="Otsuka Pharmaceutical"/>
    <x v="20"/>
    <x v="4"/>
    <n v="0"/>
    <m/>
    <m/>
    <n v="8"/>
    <n v="0"/>
    <x v="0"/>
    <n v="0"/>
    <n v="0"/>
    <n v="0"/>
  </r>
  <r>
    <s v="Pfizer"/>
    <x v="20"/>
    <x v="8"/>
    <n v="12"/>
    <m/>
    <m/>
    <n v="24"/>
    <n v="0"/>
    <x v="0"/>
    <n v="0"/>
    <n v="0"/>
    <n v="1"/>
  </r>
  <r>
    <s v="Reata Pharmaceuticals"/>
    <x v="20"/>
    <x v="0"/>
    <n v="6"/>
    <m/>
    <m/>
    <n v="12"/>
    <n v="0"/>
    <x v="0"/>
    <n v="0"/>
    <n v="0"/>
    <n v="1"/>
  </r>
  <r>
    <s v="Recursion Pharmaceuticals"/>
    <x v="20"/>
    <x v="8"/>
    <n v="0"/>
    <m/>
    <m/>
    <n v="12"/>
    <n v="0"/>
    <x v="0"/>
    <n v="0"/>
    <n v="0"/>
    <n v="0"/>
  </r>
  <r>
    <s v="Syneos Health"/>
    <x v="20"/>
    <x v="2"/>
    <n v="38"/>
    <m/>
    <m/>
    <n v="52"/>
    <n v="0"/>
    <x v="0"/>
    <n v="0"/>
    <n v="0"/>
    <n v="1"/>
  </r>
  <r>
    <s v="Express Scripts Holding"/>
    <x v="21"/>
    <x v="22"/>
    <n v="6"/>
    <m/>
    <m/>
    <n v="8"/>
    <n v="0"/>
    <x v="0"/>
    <n v="0"/>
    <n v="0"/>
    <n v="1"/>
  </r>
  <r>
    <s v="OptumRx"/>
    <x v="21"/>
    <x v="8"/>
    <n v="12"/>
    <m/>
    <m/>
    <n v="24"/>
    <n v="0"/>
    <x v="0"/>
    <n v="0"/>
    <n v="0"/>
    <n v="1"/>
  </r>
  <r>
    <s v="Chan Zuckerberg Initiative"/>
    <x v="80"/>
    <x v="5"/>
    <n v="4"/>
    <m/>
    <m/>
    <n v="20"/>
    <n v="0"/>
    <x v="0"/>
    <n v="0"/>
    <n v="0"/>
    <n v="1"/>
  </r>
  <r>
    <s v="Harold Grinspoon Foundation"/>
    <x v="80"/>
    <x v="35"/>
    <n v="12"/>
    <m/>
    <m/>
    <n v="25"/>
    <n v="0"/>
    <x v="0"/>
    <n v="0"/>
    <n v="0"/>
    <n v="1"/>
  </r>
  <r>
    <s v="Open Society Foundations"/>
    <x v="80"/>
    <x v="42"/>
    <n v="13"/>
    <m/>
    <m/>
    <n v="38"/>
    <n v="0"/>
    <x v="0"/>
    <n v="0"/>
    <n v="0"/>
    <n v="1"/>
  </r>
  <r>
    <s v="W. K. Kellogg Foundation"/>
    <x v="80"/>
    <x v="47"/>
    <n v="0"/>
    <m/>
    <m/>
    <n v="32"/>
    <n v="0"/>
    <x v="0"/>
    <n v="0"/>
    <n v="0"/>
    <n v="0"/>
  </r>
  <r>
    <s v="BCW"/>
    <x v="158"/>
    <x v="9"/>
    <n v="0"/>
    <m/>
    <m/>
    <n v="4"/>
    <n v="0"/>
    <x v="0"/>
    <n v="0"/>
    <n v="0"/>
    <n v="0"/>
  </r>
  <r>
    <s v="Curley &amp; Pynn"/>
    <x v="158"/>
    <x v="0"/>
    <n v="0"/>
    <m/>
    <m/>
    <n v="6"/>
    <n v="0"/>
    <x v="0"/>
    <n v="0"/>
    <n v="0"/>
    <n v="0"/>
  </r>
  <r>
    <s v="Edelman"/>
    <x v="158"/>
    <x v="8"/>
    <n v="0"/>
    <m/>
    <m/>
    <n v="12"/>
    <n v="0"/>
    <x v="0"/>
    <n v="0"/>
    <n v="0"/>
    <n v="0"/>
  </r>
  <r>
    <s v="Golin"/>
    <x v="158"/>
    <x v="4"/>
    <n v="27"/>
    <m/>
    <m/>
    <n v="35"/>
    <n v="0"/>
    <x v="0"/>
    <n v="0"/>
    <n v="0"/>
    <n v="1"/>
  </r>
  <r>
    <s v="MWWPR"/>
    <x v="158"/>
    <x v="8"/>
    <m/>
    <n v="12"/>
    <m/>
    <n v="12"/>
    <n v="12"/>
    <x v="0"/>
    <n v="1"/>
    <n v="0"/>
    <n v="0"/>
  </r>
  <r>
    <s v="Virgo Health"/>
    <x v="158"/>
    <x v="9"/>
    <n v="2"/>
    <m/>
    <m/>
    <n v="6"/>
    <n v="0"/>
    <x v="0"/>
    <n v="0"/>
    <n v="0"/>
    <n v="1"/>
  </r>
  <r>
    <s v="American City Business Journals"/>
    <x v="82"/>
    <x v="8"/>
    <n v="0"/>
    <m/>
    <m/>
    <n v="12"/>
    <n v="0"/>
    <x v="0"/>
    <n v="0"/>
    <n v="0"/>
    <n v="0"/>
  </r>
  <r>
    <s v="Axel Springer"/>
    <x v="82"/>
    <x v="5"/>
    <n v="52"/>
    <m/>
    <m/>
    <n v="68"/>
    <n v="0"/>
    <x v="0"/>
    <n v="0"/>
    <n v="0"/>
    <n v="1"/>
  </r>
  <r>
    <s v="Curriculum Associates"/>
    <x v="82"/>
    <x v="8"/>
    <n v="0"/>
    <m/>
    <m/>
    <n v="12"/>
    <n v="0"/>
    <x v="0"/>
    <n v="0"/>
    <n v="0"/>
    <n v="0"/>
  </r>
  <r>
    <s v="Macmillan Learning"/>
    <x v="82"/>
    <x v="2"/>
    <n v="0"/>
    <m/>
    <m/>
    <n v="14"/>
    <n v="0"/>
    <x v="0"/>
    <n v="0"/>
    <n v="0"/>
    <n v="0"/>
  </r>
  <r>
    <s v="Mcgraw Hill"/>
    <x v="82"/>
    <x v="44"/>
    <n v="12"/>
    <m/>
    <m/>
    <n v="22.5"/>
    <n v="0"/>
    <x v="0"/>
    <n v="0"/>
    <n v="0"/>
    <n v="1"/>
  </r>
  <r>
    <s v="Penguin Random House"/>
    <x v="82"/>
    <x v="24"/>
    <n v="0"/>
    <m/>
    <m/>
    <n v="10"/>
    <n v="0"/>
    <x v="0"/>
    <n v="0"/>
    <n v="0"/>
    <n v="0"/>
  </r>
  <r>
    <s v="NavigatorCRE"/>
    <x v="22"/>
    <x v="0"/>
    <n v="0"/>
    <m/>
    <m/>
    <n v="6"/>
    <n v="0"/>
    <x v="0"/>
    <n v="0"/>
    <n v="0"/>
    <n v="0"/>
  </r>
  <r>
    <s v="Keller Williams Realty"/>
    <x v="159"/>
    <x v="35"/>
    <n v="0"/>
    <m/>
    <m/>
    <n v="13"/>
    <n v="0"/>
    <x v="0"/>
    <n v="0"/>
    <n v="0"/>
    <n v="0"/>
  </r>
  <r>
    <s v="Redfin"/>
    <x v="159"/>
    <x v="5"/>
    <n v="4"/>
    <m/>
    <m/>
    <n v="20"/>
    <n v="0"/>
    <x v="0"/>
    <n v="0"/>
    <n v="0"/>
    <n v="1"/>
  </r>
  <r>
    <s v="Square Yards"/>
    <x v="159"/>
    <x v="8"/>
    <n v="13"/>
    <m/>
    <m/>
    <n v="25"/>
    <n v="0"/>
    <x v="0"/>
    <n v="0"/>
    <n v="0"/>
    <n v="1"/>
  </r>
  <r>
    <s v="Wyse Home Team Realty"/>
    <x v="159"/>
    <x v="9"/>
    <n v="52"/>
    <m/>
    <m/>
    <n v="56"/>
    <n v="0"/>
    <x v="0"/>
    <n v="0"/>
    <n v="0"/>
    <n v="1"/>
  </r>
  <r>
    <s v="CBRE"/>
    <x v="23"/>
    <x v="0"/>
    <n v="1"/>
    <m/>
    <m/>
    <n v="7"/>
    <n v="0"/>
    <x v="0"/>
    <n v="0"/>
    <n v="0"/>
    <n v="1"/>
  </r>
  <r>
    <s v="HILLS Properties"/>
    <x v="23"/>
    <x v="4"/>
    <n v="4"/>
    <m/>
    <m/>
    <n v="12"/>
    <n v="0"/>
    <x v="0"/>
    <n v="0"/>
    <n v="0"/>
    <n v="1"/>
  </r>
  <r>
    <s v="Jones Lang LaSalle"/>
    <x v="23"/>
    <x v="9"/>
    <n v="12"/>
    <m/>
    <m/>
    <n v="16"/>
    <n v="0"/>
    <x v="0"/>
    <n v="0"/>
    <n v="0"/>
    <n v="1"/>
  </r>
  <r>
    <s v="Ryan Companies"/>
    <x v="23"/>
    <x v="8"/>
    <n v="6"/>
    <m/>
    <m/>
    <n v="18"/>
    <n v="0"/>
    <x v="0"/>
    <n v="0"/>
    <n v="0"/>
    <n v="1"/>
  </r>
  <r>
    <s v="The Howard Hughes Corporation"/>
    <x v="23"/>
    <x v="8"/>
    <n v="0"/>
    <m/>
    <m/>
    <n v="12"/>
    <n v="0"/>
    <x v="0"/>
    <n v="0"/>
    <n v="0"/>
    <n v="0"/>
  </r>
  <r>
    <s v="David Weekley Homes"/>
    <x v="160"/>
    <x v="8"/>
    <n v="24"/>
    <m/>
    <m/>
    <n v="36"/>
    <n v="0"/>
    <x v="0"/>
    <n v="0"/>
    <n v="0"/>
    <n v="1"/>
  </r>
  <r>
    <s v="PGIM Real Estate"/>
    <x v="161"/>
    <x v="4"/>
    <n v="4"/>
    <m/>
    <m/>
    <n v="12"/>
    <n v="0"/>
    <x v="0"/>
    <n v="0"/>
    <n v="0"/>
    <n v="1"/>
  </r>
  <r>
    <s v="Uniti"/>
    <x v="161"/>
    <x v="9"/>
    <n v="2"/>
    <m/>
    <m/>
    <n v="6"/>
    <n v="0"/>
    <x v="0"/>
    <n v="0"/>
    <n v="0"/>
    <n v="1"/>
  </r>
  <r>
    <s v="Blanton Turner"/>
    <x v="162"/>
    <x v="9"/>
    <n v="12"/>
    <m/>
    <m/>
    <n v="16"/>
    <n v="0"/>
    <x v="0"/>
    <n v="0"/>
    <n v="0"/>
    <n v="1"/>
  </r>
  <r>
    <s v="Love's"/>
    <x v="163"/>
    <x v="4"/>
    <n v="6"/>
    <m/>
    <m/>
    <n v="14"/>
    <n v="0"/>
    <x v="0"/>
    <n v="0"/>
    <n v="0"/>
    <n v="1"/>
  </r>
  <r>
    <s v="Hallmark Cards"/>
    <x v="164"/>
    <x v="4"/>
    <n v="20"/>
    <m/>
    <m/>
    <n v="28"/>
    <n v="0"/>
    <x v="0"/>
    <n v="0"/>
    <n v="0"/>
    <n v="1"/>
  </r>
  <r>
    <s v="Michaels"/>
    <x v="164"/>
    <x v="4"/>
    <n v="0"/>
    <m/>
    <m/>
    <n v="8"/>
    <n v="0"/>
    <x v="0"/>
    <n v="0"/>
    <n v="0"/>
    <n v="0"/>
  </r>
  <r>
    <s v="Belk"/>
    <x v="84"/>
    <x v="4"/>
    <n v="4"/>
    <m/>
    <m/>
    <n v="12"/>
    <n v="0"/>
    <x v="0"/>
    <n v="0"/>
    <n v="0"/>
    <n v="1"/>
  </r>
  <r>
    <s v="Bloomingdale's"/>
    <x v="84"/>
    <x v="8"/>
    <n v="0"/>
    <m/>
    <m/>
    <n v="12"/>
    <n v="0"/>
    <x v="0"/>
    <n v="0"/>
    <n v="0"/>
    <n v="0"/>
  </r>
  <r>
    <s v="Macy's"/>
    <x v="84"/>
    <x v="25"/>
    <n v="6"/>
    <m/>
    <m/>
    <n v="17.5"/>
    <n v="0"/>
    <x v="0"/>
    <n v="0"/>
    <n v="0"/>
    <n v="1"/>
  </r>
  <r>
    <s v="Myer"/>
    <x v="84"/>
    <x v="8"/>
    <n v="52"/>
    <m/>
    <m/>
    <n v="64"/>
    <n v="0"/>
    <x v="0"/>
    <n v="0"/>
    <n v="0"/>
    <n v="1"/>
  </r>
  <r>
    <s v="Nordstrom"/>
    <x v="84"/>
    <x v="8"/>
    <n v="3"/>
    <m/>
    <m/>
    <n v="15"/>
    <n v="0"/>
    <x v="0"/>
    <n v="0"/>
    <n v="0"/>
    <n v="1"/>
  </r>
  <r>
    <s v="Aldi USA"/>
    <x v="165"/>
    <x v="0"/>
    <n v="4"/>
    <m/>
    <m/>
    <n v="10"/>
    <n v="0"/>
    <x v="0"/>
    <n v="0"/>
    <n v="0"/>
    <n v="1"/>
  </r>
  <r>
    <s v="BJs Wholesale Club"/>
    <x v="165"/>
    <x v="24"/>
    <n v="2"/>
    <m/>
    <m/>
    <n v="12"/>
    <n v="0"/>
    <x v="0"/>
    <n v="0"/>
    <n v="0"/>
    <n v="1"/>
  </r>
  <r>
    <s v="Costco"/>
    <x v="165"/>
    <x v="4"/>
    <n v="2"/>
    <m/>
    <m/>
    <n v="10"/>
    <n v="0"/>
    <x v="0"/>
    <n v="0"/>
    <n v="0"/>
    <n v="1"/>
  </r>
  <r>
    <s v="Dollar General"/>
    <x v="165"/>
    <x v="4"/>
    <n v="0"/>
    <m/>
    <m/>
    <n v="8"/>
    <n v="0"/>
    <x v="0"/>
    <n v="0"/>
    <n v="0"/>
    <n v="0"/>
  </r>
  <r>
    <s v="Ross Stores"/>
    <x v="165"/>
    <x v="0"/>
    <n v="6"/>
    <m/>
    <m/>
    <n v="12"/>
    <n v="0"/>
    <x v="0"/>
    <n v="0"/>
    <n v="0"/>
    <n v="1"/>
  </r>
  <r>
    <s v="Sprouts Farmers Market"/>
    <x v="165"/>
    <x v="17"/>
    <n v="5.5"/>
    <m/>
    <m/>
    <n v="9"/>
    <n v="0"/>
    <x v="0"/>
    <n v="0"/>
    <n v="0"/>
    <n v="1"/>
  </r>
  <r>
    <s v="Best Buy"/>
    <x v="166"/>
    <x v="8"/>
    <n v="0"/>
    <m/>
    <m/>
    <n v="12"/>
    <n v="0"/>
    <x v="0"/>
    <n v="0"/>
    <n v="0"/>
    <n v="0"/>
  </r>
  <r>
    <s v="Crutchfield"/>
    <x v="166"/>
    <x v="22"/>
    <n v="20"/>
    <m/>
    <m/>
    <n v="22"/>
    <n v="0"/>
    <x v="0"/>
    <n v="0"/>
    <n v="0"/>
    <n v="1"/>
  </r>
  <r>
    <s v="Telstra"/>
    <x v="166"/>
    <x v="11"/>
    <n v="52"/>
    <m/>
    <m/>
    <n v="70"/>
    <n v="0"/>
    <x v="0"/>
    <n v="0"/>
    <n v="0"/>
    <n v="1"/>
  </r>
  <r>
    <s v="Central Garden &amp; Pet"/>
    <x v="85"/>
    <x v="0"/>
    <n v="6"/>
    <m/>
    <m/>
    <n v="12"/>
    <n v="0"/>
    <x v="0"/>
    <n v="0"/>
    <n v="0"/>
    <n v="1"/>
  </r>
  <r>
    <s v="Floor &amp; Decor"/>
    <x v="85"/>
    <x v="22"/>
    <n v="6"/>
    <m/>
    <m/>
    <n v="8"/>
    <n v="0"/>
    <x v="0"/>
    <n v="0"/>
    <n v="0"/>
    <n v="1"/>
  </r>
  <r>
    <s v="Sleep Number"/>
    <x v="85"/>
    <x v="41"/>
    <n v="3"/>
    <m/>
    <m/>
    <n v="7.5"/>
    <n v="0"/>
    <x v="0"/>
    <n v="0"/>
    <n v="0"/>
    <n v="1"/>
  </r>
  <r>
    <s v="Williams Sonoma"/>
    <x v="85"/>
    <x v="20"/>
    <n v="8"/>
    <m/>
    <m/>
    <n v="34"/>
    <n v="0"/>
    <x v="0"/>
    <n v="0"/>
    <n v="0"/>
    <n v="1"/>
  </r>
  <r>
    <s v="Kroger"/>
    <x v="167"/>
    <x v="4"/>
    <n v="4"/>
    <m/>
    <m/>
    <n v="12"/>
    <n v="0"/>
    <x v="0"/>
    <n v="0"/>
    <n v="0"/>
    <n v="1"/>
  </r>
  <r>
    <s v="LoweÕs Home Improvement"/>
    <x v="167"/>
    <x v="15"/>
    <n v="0"/>
    <m/>
    <m/>
    <n v="11"/>
    <n v="0"/>
    <x v="0"/>
    <n v="0"/>
    <n v="0"/>
    <n v="0"/>
  </r>
  <r>
    <s v="Petco"/>
    <x v="167"/>
    <x v="22"/>
    <n v="52"/>
    <m/>
    <m/>
    <n v="54"/>
    <n v="0"/>
    <x v="0"/>
    <n v="0"/>
    <n v="0"/>
    <n v="1"/>
  </r>
  <r>
    <s v="Petsmart"/>
    <x v="167"/>
    <x v="4"/>
    <n v="4"/>
    <m/>
    <m/>
    <n v="12"/>
    <n v="0"/>
    <x v="0"/>
    <n v="0"/>
    <n v="0"/>
    <n v="1"/>
  </r>
  <r>
    <s v="Tesco PLC"/>
    <x v="167"/>
    <x v="54"/>
    <n v="18"/>
    <m/>
    <m/>
    <n v="45"/>
    <n v="0"/>
    <x v="0"/>
    <n v="0"/>
    <n v="0"/>
    <n v="1"/>
  </r>
  <r>
    <s v="Signet Jewelers"/>
    <x v="168"/>
    <x v="13"/>
    <n v="3"/>
    <m/>
    <m/>
    <n v="12"/>
    <n v="0"/>
    <x v="0"/>
    <n v="0"/>
    <n v="0"/>
    <n v="1"/>
  </r>
  <r>
    <s v="Drizly"/>
    <x v="169"/>
    <x v="0"/>
    <n v="6"/>
    <m/>
    <m/>
    <n v="12"/>
    <n v="0"/>
    <x v="0"/>
    <n v="0"/>
    <n v="0"/>
    <n v="1"/>
  </r>
  <r>
    <s v="Custom Ink"/>
    <x v="170"/>
    <x v="6"/>
    <n v="8"/>
    <m/>
    <m/>
    <n v="11"/>
    <n v="0"/>
    <x v="0"/>
    <n v="0"/>
    <n v="0"/>
    <n v="1"/>
  </r>
  <r>
    <s v="Overstock.com"/>
    <x v="170"/>
    <x v="9"/>
    <m/>
    <n v="4"/>
    <m/>
    <n v="4"/>
    <n v="4"/>
    <x v="0"/>
    <n v="1"/>
    <n v="0"/>
    <n v="0"/>
  </r>
  <r>
    <s v="Zola"/>
    <x v="170"/>
    <x v="8"/>
    <n v="4"/>
    <m/>
    <m/>
    <n v="16"/>
    <n v="0"/>
    <x v="0"/>
    <n v="0"/>
    <n v="0"/>
    <n v="1"/>
  </r>
  <r>
    <s v="Academy Sports + Outdoors"/>
    <x v="171"/>
    <x v="0"/>
    <n v="1"/>
    <m/>
    <m/>
    <n v="7"/>
    <n v="0"/>
    <x v="0"/>
    <n v="0"/>
    <n v="0"/>
    <n v="1"/>
  </r>
  <r>
    <s v="Accent Decor"/>
    <x v="171"/>
    <x v="6"/>
    <n v="12"/>
    <m/>
    <m/>
    <n v="15"/>
    <n v="0"/>
    <x v="0"/>
    <n v="0"/>
    <n v="0"/>
    <n v="1"/>
  </r>
  <r>
    <s v="Guitar Center"/>
    <x v="171"/>
    <x v="32"/>
    <n v="2"/>
    <m/>
    <m/>
    <n v="9"/>
    <n v="0"/>
    <x v="0"/>
    <n v="0"/>
    <n v="0"/>
    <n v="1"/>
  </r>
  <r>
    <s v="Marshall Retail Group"/>
    <x v="171"/>
    <x v="13"/>
    <n v="0"/>
    <m/>
    <m/>
    <n v="9"/>
    <n v="0"/>
    <x v="0"/>
    <n v="0"/>
    <n v="0"/>
    <n v="0"/>
  </r>
  <r>
    <s v="Uncommon Goods"/>
    <x v="171"/>
    <x v="24"/>
    <n v="2"/>
    <m/>
    <m/>
    <n v="12"/>
    <n v="0"/>
    <x v="0"/>
    <n v="0"/>
    <n v="0"/>
    <n v="1"/>
  </r>
  <r>
    <s v="ANN Inc."/>
    <x v="24"/>
    <x v="0"/>
    <n v="6"/>
    <m/>
    <m/>
    <n v="12"/>
    <n v="0"/>
    <x v="0"/>
    <n v="0"/>
    <n v="0"/>
    <n v="1"/>
  </r>
  <r>
    <s v="Athleta"/>
    <x v="24"/>
    <x v="12"/>
    <n v="0"/>
    <m/>
    <m/>
    <n v="15"/>
    <n v="0"/>
    <x v="0"/>
    <n v="0"/>
    <n v="0"/>
    <n v="0"/>
  </r>
  <r>
    <s v="Calvin Klein"/>
    <x v="24"/>
    <x v="4"/>
    <n v="4"/>
    <m/>
    <m/>
    <n v="12"/>
    <n v="0"/>
    <x v="0"/>
    <n v="0"/>
    <n v="0"/>
    <n v="1"/>
  </r>
  <r>
    <s v="DICK'S Sporting Goods"/>
    <x v="24"/>
    <x v="13"/>
    <n v="4"/>
    <m/>
    <m/>
    <n v="13"/>
    <n v="0"/>
    <x v="0"/>
    <n v="0"/>
    <n v="0"/>
    <n v="1"/>
  </r>
  <r>
    <s v="DSW"/>
    <x v="24"/>
    <x v="15"/>
    <n v="0"/>
    <m/>
    <m/>
    <n v="11"/>
    <n v="0"/>
    <x v="0"/>
    <n v="0"/>
    <n v="0"/>
    <n v="0"/>
  </r>
  <r>
    <s v="Esprit"/>
    <x v="24"/>
    <x v="0"/>
    <n v="16"/>
    <m/>
    <m/>
    <n v="22"/>
    <n v="0"/>
    <x v="0"/>
    <n v="0"/>
    <n v="0"/>
    <n v="1"/>
  </r>
  <r>
    <s v="Evisons"/>
    <x v="24"/>
    <x v="0"/>
    <n v="0"/>
    <m/>
    <m/>
    <n v="6"/>
    <n v="0"/>
    <x v="0"/>
    <n v="0"/>
    <n v="0"/>
    <n v="0"/>
  </r>
  <r>
    <s v="Fossil"/>
    <x v="24"/>
    <x v="0"/>
    <n v="9"/>
    <m/>
    <m/>
    <n v="15"/>
    <n v="0"/>
    <x v="0"/>
    <n v="0"/>
    <n v="0"/>
    <n v="1"/>
  </r>
  <r>
    <s v="Haggar"/>
    <x v="24"/>
    <x v="0"/>
    <n v="24"/>
    <m/>
    <m/>
    <n v="30"/>
    <n v="0"/>
    <x v="0"/>
    <n v="0"/>
    <n v="0"/>
    <n v="1"/>
  </r>
  <r>
    <s v="Hollister"/>
    <x v="24"/>
    <x v="0"/>
    <n v="12"/>
    <m/>
    <m/>
    <n v="18"/>
    <n v="0"/>
    <x v="0"/>
    <n v="0"/>
    <n v="0"/>
    <n v="1"/>
  </r>
  <r>
    <s v="J.Crew"/>
    <x v="24"/>
    <x v="41"/>
    <n v="4"/>
    <m/>
    <m/>
    <n v="8.5"/>
    <n v="0"/>
    <x v="0"/>
    <n v="0"/>
    <n v="0"/>
    <n v="1"/>
  </r>
  <r>
    <s v="Jockey International, Inc."/>
    <x v="24"/>
    <x v="0"/>
    <n v="6"/>
    <m/>
    <m/>
    <n v="12"/>
    <n v="0"/>
    <x v="0"/>
    <n v="0"/>
    <n v="0"/>
    <n v="1"/>
  </r>
  <r>
    <s v="Lands' End"/>
    <x v="24"/>
    <x v="4"/>
    <n v="4"/>
    <m/>
    <m/>
    <n v="12"/>
    <n v="0"/>
    <x v="0"/>
    <n v="0"/>
    <n v="0"/>
    <n v="1"/>
  </r>
  <r>
    <s v="Levi Strauss &amp; Co."/>
    <x v="24"/>
    <x v="8"/>
    <n v="21"/>
    <m/>
    <m/>
    <n v="33"/>
    <n v="0"/>
    <x v="0"/>
    <n v="0"/>
    <n v="0"/>
    <n v="1"/>
  </r>
  <r>
    <s v="Lululemon Athletica"/>
    <x v="24"/>
    <x v="14"/>
    <n v="0"/>
    <m/>
    <m/>
    <n v="24"/>
    <n v="0"/>
    <x v="0"/>
    <n v="0"/>
    <n v="0"/>
    <n v="0"/>
  </r>
  <r>
    <s v="New Balance"/>
    <x v="24"/>
    <x v="23"/>
    <n v="4"/>
    <m/>
    <m/>
    <n v="24"/>
    <n v="0"/>
    <x v="0"/>
    <n v="0"/>
    <n v="0"/>
    <n v="1"/>
  </r>
  <r>
    <s v="PVH Corp."/>
    <x v="24"/>
    <x v="0"/>
    <n v="4"/>
    <m/>
    <m/>
    <n v="10"/>
    <n v="0"/>
    <x v="0"/>
    <n v="0"/>
    <n v="0"/>
    <n v="1"/>
  </r>
  <r>
    <s v="Reebok International, Ltd."/>
    <x v="24"/>
    <x v="4"/>
    <n v="8"/>
    <m/>
    <m/>
    <n v="16"/>
    <n v="0"/>
    <x v="0"/>
    <n v="0"/>
    <n v="0"/>
    <n v="1"/>
  </r>
  <r>
    <s v="REI"/>
    <x v="24"/>
    <x v="5"/>
    <n v="6"/>
    <m/>
    <m/>
    <n v="22"/>
    <n v="0"/>
    <x v="0"/>
    <n v="0"/>
    <n v="0"/>
    <n v="1"/>
  </r>
  <r>
    <s v="Trunk Club"/>
    <x v="24"/>
    <x v="8"/>
    <n v="0"/>
    <m/>
    <m/>
    <n v="12"/>
    <n v="0"/>
    <x v="0"/>
    <n v="0"/>
    <n v="0"/>
    <n v="0"/>
  </r>
  <r>
    <s v="Uniqlo"/>
    <x v="24"/>
    <x v="7"/>
    <n v="0"/>
    <m/>
    <m/>
    <n v="0"/>
    <n v="0"/>
    <x v="1"/>
    <n v="0"/>
    <n v="0"/>
    <n v="0"/>
  </r>
  <r>
    <s v="Meredith Digital"/>
    <x v="172"/>
    <x v="8"/>
    <n v="0"/>
    <m/>
    <m/>
    <n v="12"/>
    <n v="0"/>
    <x v="0"/>
    <n v="0"/>
    <n v="0"/>
    <n v="0"/>
  </r>
  <r>
    <s v="Office Depot"/>
    <x v="172"/>
    <x v="0"/>
    <n v="8"/>
    <m/>
    <m/>
    <n v="14"/>
    <n v="0"/>
    <x v="0"/>
    <n v="0"/>
    <n v="0"/>
    <n v="1"/>
  </r>
  <r>
    <s v="Ahold Delhaize"/>
    <x v="86"/>
    <x v="0"/>
    <n v="6"/>
    <m/>
    <m/>
    <n v="12"/>
    <n v="0"/>
    <x v="0"/>
    <n v="0"/>
    <n v="0"/>
    <n v="1"/>
  </r>
  <r>
    <s v="Family Dollar"/>
    <x v="86"/>
    <x v="13"/>
    <n v="0"/>
    <m/>
    <m/>
    <n v="9"/>
    <n v="0"/>
    <x v="0"/>
    <n v="0"/>
    <n v="0"/>
    <n v="0"/>
  </r>
  <r>
    <s v="Hy-Vee"/>
    <x v="86"/>
    <x v="4"/>
    <n v="4"/>
    <m/>
    <m/>
    <n v="12"/>
    <n v="0"/>
    <x v="0"/>
    <n v="0"/>
    <n v="0"/>
    <n v="1"/>
  </r>
  <r>
    <s v="Lowes Foods"/>
    <x v="86"/>
    <x v="12"/>
    <n v="15"/>
    <m/>
    <m/>
    <n v="30"/>
    <n v="0"/>
    <x v="0"/>
    <n v="0"/>
    <n v="0"/>
    <n v="1"/>
  </r>
  <r>
    <s v="CozyKin"/>
    <x v="173"/>
    <x v="0"/>
    <n v="6"/>
    <m/>
    <m/>
    <n v="12"/>
    <n v="0"/>
    <x v="0"/>
    <n v="0"/>
    <n v="0"/>
    <n v="1"/>
  </r>
  <r>
    <s v="EasyWayPaper"/>
    <x v="174"/>
    <x v="27"/>
    <n v="5"/>
    <m/>
    <m/>
    <n v="35"/>
    <n v="0"/>
    <x v="0"/>
    <n v="0"/>
    <n v="0"/>
    <n v="1"/>
  </r>
  <r>
    <s v="Essay 4 Students"/>
    <x v="174"/>
    <x v="42"/>
    <n v="5"/>
    <m/>
    <m/>
    <n v="30"/>
    <n v="0"/>
    <x v="0"/>
    <n v="0"/>
    <n v="0"/>
    <n v="1"/>
  </r>
  <r>
    <s v="Industrious"/>
    <x v="174"/>
    <x v="7"/>
    <n v="4"/>
    <m/>
    <m/>
    <n v="4"/>
    <n v="0"/>
    <x v="1"/>
    <n v="0"/>
    <n v="0"/>
    <n v="1"/>
  </r>
  <r>
    <s v="International SOS"/>
    <x v="174"/>
    <x v="5"/>
    <n v="0"/>
    <m/>
    <m/>
    <n v="16"/>
    <n v="0"/>
    <x v="0"/>
    <n v="0"/>
    <n v="0"/>
    <n v="0"/>
  </r>
  <r>
    <s v="Sunrun"/>
    <x v="174"/>
    <x v="24"/>
    <n v="0"/>
    <m/>
    <m/>
    <n v="10"/>
    <n v="0"/>
    <x v="0"/>
    <n v="0"/>
    <n v="0"/>
    <n v="0"/>
  </r>
  <r>
    <s v="Terminix"/>
    <x v="174"/>
    <x v="35"/>
    <n v="6.5"/>
    <m/>
    <m/>
    <n v="19.5"/>
    <n v="0"/>
    <x v="0"/>
    <n v="0"/>
    <n v="0"/>
    <n v="1"/>
  </r>
  <r>
    <s v="Uno Assignment Help"/>
    <x v="174"/>
    <x v="9"/>
    <n v="6"/>
    <m/>
    <m/>
    <n v="10"/>
    <n v="0"/>
    <x v="0"/>
    <n v="0"/>
    <n v="0"/>
    <n v="1"/>
  </r>
  <r>
    <s v="TransPerfect"/>
    <x v="175"/>
    <x v="4"/>
    <n v="4"/>
    <m/>
    <m/>
    <n v="12"/>
    <n v="0"/>
    <x v="0"/>
    <n v="0"/>
    <n v="0"/>
    <n v="1"/>
  </r>
  <r>
    <s v="Clean Harbors, Inc."/>
    <x v="176"/>
    <x v="7"/>
    <n v="12"/>
    <m/>
    <m/>
    <n v="12"/>
    <n v="0"/>
    <x v="1"/>
    <n v="0"/>
    <n v="0"/>
    <n v="1"/>
  </r>
  <r>
    <s v="Republic Services, Inc."/>
    <x v="176"/>
    <x v="4"/>
    <n v="0"/>
    <m/>
    <m/>
    <n v="8"/>
    <n v="0"/>
    <x v="0"/>
    <n v="0"/>
    <n v="0"/>
    <n v="0"/>
  </r>
  <r>
    <s v="Waste Connections"/>
    <x v="176"/>
    <x v="0"/>
    <n v="12"/>
    <m/>
    <m/>
    <n v="18"/>
    <n v="0"/>
    <x v="0"/>
    <n v="0"/>
    <n v="0"/>
    <n v="1"/>
  </r>
  <r>
    <s v="WIN Waste Innovations"/>
    <x v="176"/>
    <x v="8"/>
    <n v="12"/>
    <m/>
    <m/>
    <n v="24"/>
    <n v="0"/>
    <x v="0"/>
    <n v="0"/>
    <n v="0"/>
    <n v="1"/>
  </r>
  <r>
    <s v="Nike"/>
    <x v="177"/>
    <x v="8"/>
    <n v="12"/>
    <m/>
    <m/>
    <n v="24"/>
    <n v="0"/>
    <x v="0"/>
    <n v="0"/>
    <n v="0"/>
    <n v="1"/>
  </r>
  <r>
    <s v="Trek Bikes"/>
    <x v="177"/>
    <x v="8"/>
    <n v="0"/>
    <m/>
    <m/>
    <n v="12"/>
    <n v="0"/>
    <x v="0"/>
    <n v="0"/>
    <n v="0"/>
    <n v="0"/>
  </r>
  <r>
    <s v="National Football League"/>
    <x v="178"/>
    <x v="5"/>
    <n v="0"/>
    <m/>
    <m/>
    <n v="16"/>
    <n v="0"/>
    <x v="0"/>
    <n v="0"/>
    <n v="0"/>
    <n v="0"/>
  </r>
  <r>
    <s v="Round Rock Express"/>
    <x v="178"/>
    <x v="38"/>
    <n v="0"/>
    <m/>
    <m/>
    <n v="1"/>
    <n v="0"/>
    <x v="0"/>
    <n v="0"/>
    <n v="0"/>
    <n v="0"/>
  </r>
  <r>
    <s v="Braze"/>
    <x v="179"/>
    <x v="11"/>
    <n v="2"/>
    <m/>
    <m/>
    <n v="20"/>
    <n v="0"/>
    <x v="0"/>
    <n v="0"/>
    <n v="0"/>
    <n v="1"/>
  </r>
  <r>
    <s v="Akamai"/>
    <x v="25"/>
    <x v="15"/>
    <n v="6"/>
    <m/>
    <m/>
    <n v="17"/>
    <n v="0"/>
    <x v="0"/>
    <n v="0"/>
    <n v="0"/>
    <n v="1"/>
  </r>
  <r>
    <s v="Amazon Web Services"/>
    <x v="25"/>
    <x v="8"/>
    <n v="5.5"/>
    <m/>
    <m/>
    <n v="17.5"/>
    <n v="0"/>
    <x v="0"/>
    <n v="0"/>
    <n v="0"/>
    <n v="1"/>
  </r>
  <r>
    <s v="Atos"/>
    <x v="25"/>
    <x v="4"/>
    <n v="0"/>
    <m/>
    <m/>
    <n v="8"/>
    <n v="0"/>
    <x v="0"/>
    <n v="0"/>
    <n v="0"/>
    <n v="0"/>
  </r>
  <r>
    <s v="Bepress"/>
    <x v="25"/>
    <x v="2"/>
    <n v="26"/>
    <m/>
    <m/>
    <n v="40"/>
    <n v="0"/>
    <x v="0"/>
    <n v="0"/>
    <n v="0"/>
    <n v="1"/>
  </r>
  <r>
    <s v="CACI International"/>
    <x v="25"/>
    <x v="6"/>
    <n v="9"/>
    <m/>
    <m/>
    <n v="12"/>
    <n v="0"/>
    <x v="0"/>
    <n v="0"/>
    <n v="0"/>
    <n v="1"/>
  </r>
  <r>
    <s v="CDK Global"/>
    <x v="25"/>
    <x v="13"/>
    <n v="25.5"/>
    <m/>
    <m/>
    <n v="34.5"/>
    <n v="0"/>
    <x v="0"/>
    <n v="0"/>
    <n v="0"/>
    <n v="1"/>
  </r>
  <r>
    <s v="Chartbeat"/>
    <x v="25"/>
    <x v="20"/>
    <n v="26"/>
    <m/>
    <m/>
    <n v="52"/>
    <n v="0"/>
    <x v="0"/>
    <n v="0"/>
    <n v="0"/>
    <n v="1"/>
  </r>
  <r>
    <s v="Cognizant"/>
    <x v="25"/>
    <x v="9"/>
    <n v="2"/>
    <m/>
    <m/>
    <n v="6"/>
    <n v="0"/>
    <x v="0"/>
    <n v="0"/>
    <n v="0"/>
    <n v="1"/>
  </r>
  <r>
    <s v="Cubic Corporation"/>
    <x v="25"/>
    <x v="9"/>
    <n v="0"/>
    <m/>
    <m/>
    <n v="4"/>
    <n v="0"/>
    <x v="0"/>
    <n v="0"/>
    <n v="0"/>
    <n v="0"/>
  </r>
  <r>
    <s v="Datto, Inc."/>
    <x v="25"/>
    <x v="5"/>
    <n v="0"/>
    <m/>
    <m/>
    <n v="16"/>
    <n v="0"/>
    <x v="0"/>
    <n v="0"/>
    <n v="0"/>
    <n v="0"/>
  </r>
  <r>
    <s v="DMI, Inc."/>
    <x v="25"/>
    <x v="22"/>
    <n v="6"/>
    <m/>
    <m/>
    <n v="8"/>
    <n v="0"/>
    <x v="0"/>
    <n v="0"/>
    <n v="0"/>
    <n v="1"/>
  </r>
  <r>
    <s v="Impinj"/>
    <x v="25"/>
    <x v="8"/>
    <n v="0"/>
    <m/>
    <m/>
    <n v="12"/>
    <n v="0"/>
    <x v="0"/>
    <n v="0"/>
    <n v="0"/>
    <n v="0"/>
  </r>
  <r>
    <s v="Iron Mountain"/>
    <x v="25"/>
    <x v="1"/>
    <n v="9"/>
    <m/>
    <m/>
    <n v="14"/>
    <n v="0"/>
    <x v="0"/>
    <n v="0"/>
    <n v="0"/>
    <n v="1"/>
  </r>
  <r>
    <s v="Knowable"/>
    <x v="25"/>
    <x v="15"/>
    <n v="2"/>
    <m/>
    <m/>
    <n v="13"/>
    <n v="0"/>
    <x v="0"/>
    <n v="0"/>
    <n v="0"/>
    <n v="1"/>
  </r>
  <r>
    <s v="Leidos"/>
    <x v="25"/>
    <x v="9"/>
    <n v="5"/>
    <m/>
    <m/>
    <n v="9"/>
    <n v="0"/>
    <x v="0"/>
    <n v="0"/>
    <n v="0"/>
    <n v="1"/>
  </r>
  <r>
    <s v="Luxoft"/>
    <x v="25"/>
    <x v="20"/>
    <n v="12"/>
    <m/>
    <m/>
    <n v="38"/>
    <n v="0"/>
    <x v="0"/>
    <n v="0"/>
    <n v="0"/>
    <n v="1"/>
  </r>
  <r>
    <s v="MediaMath"/>
    <x v="25"/>
    <x v="24"/>
    <n v="0"/>
    <m/>
    <m/>
    <n v="10"/>
    <n v="0"/>
    <x v="0"/>
    <n v="0"/>
    <n v="0"/>
    <n v="0"/>
  </r>
  <r>
    <s v="MEDITECH"/>
    <x v="25"/>
    <x v="5"/>
    <n v="0"/>
    <m/>
    <m/>
    <n v="16"/>
    <n v="0"/>
    <x v="0"/>
    <n v="0"/>
    <n v="0"/>
    <n v="0"/>
  </r>
  <r>
    <s v="MPAY"/>
    <x v="25"/>
    <x v="9"/>
    <n v="0"/>
    <m/>
    <m/>
    <n v="4"/>
    <n v="0"/>
    <x v="0"/>
    <n v="0"/>
    <n v="0"/>
    <n v="0"/>
  </r>
  <r>
    <s v="NCR Corporation"/>
    <x v="25"/>
    <x v="37"/>
    <n v="20"/>
    <m/>
    <m/>
    <n v="37"/>
    <n v="0"/>
    <x v="0"/>
    <n v="0"/>
    <n v="0"/>
    <n v="1"/>
  </r>
  <r>
    <s v="Optoro"/>
    <x v="25"/>
    <x v="0"/>
    <n v="5"/>
    <m/>
    <m/>
    <n v="11"/>
    <n v="0"/>
    <x v="0"/>
    <n v="0"/>
    <n v="0"/>
    <n v="1"/>
  </r>
  <r>
    <s v="Quantcast"/>
    <x v="25"/>
    <x v="9"/>
    <n v="8"/>
    <m/>
    <m/>
    <n v="12"/>
    <n v="0"/>
    <x v="0"/>
    <n v="0"/>
    <n v="0"/>
    <n v="1"/>
  </r>
  <r>
    <s v="Recurly"/>
    <x v="25"/>
    <x v="0"/>
    <n v="0"/>
    <m/>
    <m/>
    <n v="6"/>
    <n v="0"/>
    <x v="0"/>
    <n v="0"/>
    <n v="0"/>
    <n v="0"/>
  </r>
  <r>
    <s v="Sirius Computer Solutions"/>
    <x v="25"/>
    <x v="9"/>
    <n v="8"/>
    <m/>
    <m/>
    <n v="12"/>
    <n v="0"/>
    <x v="0"/>
    <n v="0"/>
    <n v="0"/>
    <n v="1"/>
  </r>
  <r>
    <s v="Teradata"/>
    <x v="25"/>
    <x v="4"/>
    <n v="8"/>
    <m/>
    <m/>
    <n v="16"/>
    <n v="0"/>
    <x v="0"/>
    <n v="0"/>
    <n v="0"/>
    <n v="1"/>
  </r>
  <r>
    <s v="Twilio"/>
    <x v="25"/>
    <x v="5"/>
    <n v="20"/>
    <m/>
    <m/>
    <n v="36"/>
    <n v="0"/>
    <x v="0"/>
    <n v="0"/>
    <n v="0"/>
    <n v="1"/>
  </r>
  <r>
    <s v="Unisys"/>
    <x v="25"/>
    <x v="8"/>
    <n v="0"/>
    <m/>
    <m/>
    <n v="12"/>
    <n v="0"/>
    <x v="0"/>
    <n v="0"/>
    <n v="0"/>
    <n v="0"/>
  </r>
  <r>
    <s v="Volt Information Sciences"/>
    <x v="25"/>
    <x v="0"/>
    <n v="6"/>
    <m/>
    <m/>
    <n v="12"/>
    <n v="0"/>
    <x v="0"/>
    <n v="0"/>
    <n v="0"/>
    <n v="1"/>
  </r>
  <r>
    <s v="Wipro"/>
    <x v="25"/>
    <x v="5"/>
    <n v="8"/>
    <m/>
    <m/>
    <n v="24"/>
    <n v="0"/>
    <x v="0"/>
    <n v="0"/>
    <n v="0"/>
    <n v="1"/>
  </r>
  <r>
    <s v="Airbnb"/>
    <x v="26"/>
    <x v="21"/>
    <n v="2"/>
    <m/>
    <m/>
    <n v="23"/>
    <n v="0"/>
    <x v="0"/>
    <n v="0"/>
    <n v="0"/>
    <n v="1"/>
  </r>
  <r>
    <s v="AOL"/>
    <x v="26"/>
    <x v="8"/>
    <n v="12"/>
    <m/>
    <m/>
    <n v="24"/>
    <n v="0"/>
    <x v="0"/>
    <n v="0"/>
    <n v="0"/>
    <n v="1"/>
  </r>
  <r>
    <s v="BentoBox"/>
    <x v="26"/>
    <x v="8"/>
    <n v="0"/>
    <m/>
    <m/>
    <n v="12"/>
    <n v="0"/>
    <x v="0"/>
    <n v="0"/>
    <n v="0"/>
    <n v="0"/>
  </r>
  <r>
    <s v="BlaBlaCar"/>
    <x v="26"/>
    <x v="8"/>
    <n v="0"/>
    <m/>
    <m/>
    <n v="12"/>
    <n v="0"/>
    <x v="0"/>
    <n v="0"/>
    <n v="0"/>
    <n v="0"/>
  </r>
  <r>
    <s v="Booking.com"/>
    <x v="26"/>
    <x v="55"/>
    <n v="10.5"/>
    <m/>
    <m/>
    <n v="32.5"/>
    <n v="0"/>
    <x v="0"/>
    <n v="0"/>
    <n v="0"/>
    <n v="1"/>
  </r>
  <r>
    <s v="CampusLogic"/>
    <x v="26"/>
    <x v="24"/>
    <n v="0"/>
    <m/>
    <m/>
    <n v="10"/>
    <n v="0"/>
    <x v="0"/>
    <n v="0"/>
    <n v="0"/>
    <n v="0"/>
  </r>
  <r>
    <s v="CarMax"/>
    <x v="26"/>
    <x v="0"/>
    <n v="9"/>
    <m/>
    <m/>
    <n v="15"/>
    <n v="0"/>
    <x v="0"/>
    <n v="0"/>
    <n v="0"/>
    <n v="1"/>
  </r>
  <r>
    <s v="Carsales"/>
    <x v="26"/>
    <x v="5"/>
    <m/>
    <n v="2"/>
    <m/>
    <n v="16"/>
    <n v="2"/>
    <x v="0"/>
    <n v="1"/>
    <n v="0"/>
    <n v="0"/>
  </r>
  <r>
    <s v="ChowNow"/>
    <x v="26"/>
    <x v="12"/>
    <n v="0"/>
    <m/>
    <m/>
    <n v="15"/>
    <n v="0"/>
    <x v="0"/>
    <n v="0"/>
    <n v="0"/>
    <n v="0"/>
  </r>
  <r>
    <s v="Cloudworkers"/>
    <x v="26"/>
    <x v="45"/>
    <n v="0"/>
    <m/>
    <m/>
    <n v="52"/>
    <n v="0"/>
    <x v="0"/>
    <n v="0"/>
    <n v="0"/>
    <n v="0"/>
  </r>
  <r>
    <s v="Comoto Holdings"/>
    <x v="26"/>
    <x v="8"/>
    <n v="26"/>
    <m/>
    <m/>
    <n v="38"/>
    <n v="0"/>
    <x v="0"/>
    <n v="0"/>
    <n v="0"/>
    <n v="1"/>
  </r>
  <r>
    <s v="Divercity"/>
    <x v="26"/>
    <x v="38"/>
    <n v="1"/>
    <m/>
    <m/>
    <n v="2"/>
    <n v="0"/>
    <x v="0"/>
    <n v="0"/>
    <n v="0"/>
    <n v="1"/>
  </r>
  <r>
    <s v="DoorDash"/>
    <x v="26"/>
    <x v="24"/>
    <n v="0"/>
    <m/>
    <m/>
    <n v="10"/>
    <n v="0"/>
    <x v="0"/>
    <n v="0"/>
    <n v="0"/>
    <n v="0"/>
  </r>
  <r>
    <s v="Freewheel"/>
    <x v="26"/>
    <x v="8"/>
    <n v="4"/>
    <m/>
    <m/>
    <n v="16"/>
    <n v="0"/>
    <x v="0"/>
    <n v="0"/>
    <n v="0"/>
    <n v="1"/>
  </r>
  <r>
    <s v="Genius"/>
    <x v="26"/>
    <x v="8"/>
    <n v="4"/>
    <m/>
    <m/>
    <n v="16"/>
    <n v="0"/>
    <x v="0"/>
    <n v="0"/>
    <n v="0"/>
    <n v="1"/>
  </r>
  <r>
    <s v="GoDaddy"/>
    <x v="26"/>
    <x v="37"/>
    <n v="9"/>
    <m/>
    <m/>
    <n v="26"/>
    <n v="0"/>
    <x v="0"/>
    <n v="0"/>
    <n v="0"/>
    <n v="1"/>
  </r>
  <r>
    <s v="Groupon"/>
    <x v="26"/>
    <x v="2"/>
    <n v="0"/>
    <m/>
    <m/>
    <n v="14"/>
    <n v="0"/>
    <x v="0"/>
    <n v="0"/>
    <n v="0"/>
    <n v="0"/>
  </r>
  <r>
    <s v="Grubhub"/>
    <x v="26"/>
    <x v="8"/>
    <n v="0"/>
    <m/>
    <m/>
    <n v="12"/>
    <n v="0"/>
    <x v="0"/>
    <n v="0"/>
    <n v="0"/>
    <n v="0"/>
  </r>
  <r>
    <s v="Ibotta"/>
    <x v="26"/>
    <x v="9"/>
    <n v="0"/>
    <m/>
    <m/>
    <n v="4"/>
    <n v="0"/>
    <x v="0"/>
    <n v="0"/>
    <n v="0"/>
    <n v="0"/>
  </r>
  <r>
    <s v="Indiegogo"/>
    <x v="26"/>
    <x v="24"/>
    <n v="10"/>
    <m/>
    <m/>
    <n v="20"/>
    <n v="0"/>
    <x v="0"/>
    <n v="0"/>
    <n v="0"/>
    <n v="1"/>
  </r>
  <r>
    <s v="Justworks"/>
    <x v="26"/>
    <x v="2"/>
    <n v="2"/>
    <m/>
    <m/>
    <n v="16"/>
    <n v="0"/>
    <x v="0"/>
    <n v="0"/>
    <n v="0"/>
    <n v="1"/>
  </r>
  <r>
    <s v="LaunchGood"/>
    <x v="26"/>
    <x v="8"/>
    <n v="12"/>
    <m/>
    <m/>
    <n v="24"/>
    <n v="0"/>
    <x v="0"/>
    <n v="0"/>
    <n v="0"/>
    <n v="1"/>
  </r>
  <r>
    <s v="Lyft"/>
    <x v="26"/>
    <x v="8"/>
    <n v="18"/>
    <m/>
    <m/>
    <n v="30"/>
    <n v="0"/>
    <x v="0"/>
    <n v="0"/>
    <n v="0"/>
    <n v="1"/>
  </r>
  <r>
    <s v="Match"/>
    <x v="26"/>
    <x v="5"/>
    <n v="0"/>
    <m/>
    <m/>
    <n v="16"/>
    <n v="0"/>
    <x v="0"/>
    <n v="0"/>
    <n v="0"/>
    <n v="0"/>
  </r>
  <r>
    <s v="Match Group"/>
    <x v="26"/>
    <x v="2"/>
    <n v="0"/>
    <m/>
    <m/>
    <n v="14"/>
    <n v="0"/>
    <x v="0"/>
    <n v="0"/>
    <n v="0"/>
    <n v="0"/>
  </r>
  <r>
    <s v="Meta"/>
    <x v="26"/>
    <x v="55"/>
    <n v="0"/>
    <m/>
    <m/>
    <n v="22"/>
    <n v="0"/>
    <x v="0"/>
    <n v="0"/>
    <n v="0"/>
    <n v="0"/>
  </r>
  <r>
    <s v="MindSumo"/>
    <x v="26"/>
    <x v="8"/>
    <n v="0"/>
    <m/>
    <m/>
    <n v="12"/>
    <n v="0"/>
    <x v="0"/>
    <n v="0"/>
    <n v="0"/>
    <n v="0"/>
  </r>
  <r>
    <s v="Nerdwallet"/>
    <x v="26"/>
    <x v="8"/>
    <n v="0"/>
    <m/>
    <m/>
    <n v="12"/>
    <n v="0"/>
    <x v="0"/>
    <n v="0"/>
    <n v="0"/>
    <n v="0"/>
  </r>
  <r>
    <s v="Netflix"/>
    <x v="26"/>
    <x v="45"/>
    <n v="0"/>
    <m/>
    <m/>
    <n v="52"/>
    <n v="0"/>
    <x v="0"/>
    <n v="0"/>
    <n v="0"/>
    <n v="0"/>
  </r>
  <r>
    <s v="Noom, inc."/>
    <x v="26"/>
    <x v="8"/>
    <n v="6"/>
    <m/>
    <m/>
    <n v="18"/>
    <n v="0"/>
    <x v="0"/>
    <n v="0"/>
    <n v="0"/>
    <n v="1"/>
  </r>
  <r>
    <s v="Offerup"/>
    <x v="26"/>
    <x v="4"/>
    <n v="8"/>
    <m/>
    <m/>
    <n v="16"/>
    <n v="0"/>
    <x v="0"/>
    <n v="0"/>
    <n v="0"/>
    <n v="1"/>
  </r>
  <r>
    <s v="OLX Group"/>
    <x v="26"/>
    <x v="46"/>
    <n v="26"/>
    <m/>
    <m/>
    <n v="45.5"/>
    <n v="0"/>
    <x v="0"/>
    <n v="0"/>
    <n v="0"/>
    <n v="1"/>
  </r>
  <r>
    <s v="ON Semiconductor"/>
    <x v="26"/>
    <x v="9"/>
    <n v="2"/>
    <m/>
    <m/>
    <n v="6"/>
    <n v="0"/>
    <x v="0"/>
    <n v="0"/>
    <n v="0"/>
    <n v="1"/>
  </r>
  <r>
    <s v="Peapod Digital Labs"/>
    <x v="26"/>
    <x v="8"/>
    <n v="6"/>
    <m/>
    <m/>
    <n v="18"/>
    <n v="0"/>
    <x v="0"/>
    <n v="0"/>
    <n v="0"/>
    <n v="1"/>
  </r>
  <r>
    <s v="Postmates"/>
    <x v="26"/>
    <x v="5"/>
    <m/>
    <n v="16"/>
    <m/>
    <n v="16"/>
    <n v="16"/>
    <x v="0"/>
    <n v="1"/>
    <n v="0"/>
    <n v="0"/>
  </r>
  <r>
    <s v="Rally Health"/>
    <x v="26"/>
    <x v="11"/>
    <n v="0"/>
    <m/>
    <m/>
    <n v="18"/>
    <n v="0"/>
    <x v="0"/>
    <n v="0"/>
    <n v="0"/>
    <n v="0"/>
  </r>
  <r>
    <s v="Reddit"/>
    <x v="26"/>
    <x v="5"/>
    <m/>
    <n v="16"/>
    <m/>
    <n v="16"/>
    <n v="16"/>
    <x v="0"/>
    <n v="1"/>
    <n v="0"/>
    <n v="0"/>
  </r>
  <r>
    <s v="Shopify"/>
    <x v="26"/>
    <x v="20"/>
    <n v="26"/>
    <m/>
    <m/>
    <n v="52"/>
    <n v="0"/>
    <x v="0"/>
    <n v="0"/>
    <n v="0"/>
    <n v="1"/>
  </r>
  <r>
    <s v="Spotify"/>
    <x v="26"/>
    <x v="14"/>
    <n v="2.5"/>
    <m/>
    <m/>
    <n v="26.5"/>
    <n v="0"/>
    <x v="0"/>
    <n v="0"/>
    <n v="0"/>
    <n v="1"/>
  </r>
  <r>
    <s v="Spring Health"/>
    <x v="26"/>
    <x v="11"/>
    <n v="0"/>
    <m/>
    <m/>
    <n v="18"/>
    <n v="0"/>
    <x v="0"/>
    <n v="0"/>
    <n v="0"/>
    <n v="0"/>
  </r>
  <r>
    <s v="Squarespace"/>
    <x v="26"/>
    <x v="23"/>
    <n v="0"/>
    <m/>
    <m/>
    <n v="20"/>
    <n v="0"/>
    <x v="0"/>
    <n v="0"/>
    <n v="0"/>
    <n v="0"/>
  </r>
  <r>
    <s v="Travelzoo"/>
    <x v="26"/>
    <x v="9"/>
    <n v="0"/>
    <m/>
    <m/>
    <n v="4"/>
    <n v="0"/>
    <x v="0"/>
    <n v="0"/>
    <n v="0"/>
    <n v="0"/>
  </r>
  <r>
    <s v="Twitter"/>
    <x v="26"/>
    <x v="23"/>
    <n v="2.5"/>
    <m/>
    <m/>
    <n v="22.5"/>
    <n v="0"/>
    <x v="0"/>
    <n v="0"/>
    <n v="0"/>
    <n v="1"/>
  </r>
  <r>
    <s v="WorkMarket"/>
    <x v="26"/>
    <x v="24"/>
    <n v="4"/>
    <m/>
    <m/>
    <n v="14"/>
    <n v="0"/>
    <x v="0"/>
    <n v="0"/>
    <n v="0"/>
    <n v="1"/>
  </r>
  <r>
    <s v="Yelp"/>
    <x v="26"/>
    <x v="2"/>
    <n v="0"/>
    <m/>
    <m/>
    <n v="14"/>
    <n v="0"/>
    <x v="0"/>
    <n v="0"/>
    <n v="0"/>
    <n v="0"/>
  </r>
  <r>
    <s v="YouTube"/>
    <x v="26"/>
    <x v="12"/>
    <n v="2"/>
    <m/>
    <m/>
    <n v="17"/>
    <n v="0"/>
    <x v="0"/>
    <n v="0"/>
    <n v="0"/>
    <n v="1"/>
  </r>
  <r>
    <s v="Zillow"/>
    <x v="26"/>
    <x v="9"/>
    <n v="2"/>
    <m/>
    <m/>
    <n v="6"/>
    <n v="0"/>
    <x v="0"/>
    <n v="0"/>
    <n v="0"/>
    <n v="1"/>
  </r>
  <r>
    <s v="Zumper"/>
    <x v="26"/>
    <x v="8"/>
    <n v="0"/>
    <m/>
    <m/>
    <n v="12"/>
    <n v="0"/>
    <x v="0"/>
    <n v="0"/>
    <n v="0"/>
    <n v="0"/>
  </r>
  <r>
    <s v="Enova"/>
    <x v="87"/>
    <x v="24"/>
    <n v="0"/>
    <m/>
    <m/>
    <n v="10"/>
    <n v="0"/>
    <x v="0"/>
    <n v="0"/>
    <n v="0"/>
    <n v="0"/>
  </r>
  <r>
    <s v="Funding Circle"/>
    <x v="87"/>
    <x v="35"/>
    <m/>
    <n v="2"/>
    <m/>
    <n v="13"/>
    <n v="2"/>
    <x v="0"/>
    <n v="1"/>
    <n v="0"/>
    <n v="0"/>
  </r>
  <r>
    <s v="Kabbage"/>
    <x v="87"/>
    <x v="8"/>
    <n v="0"/>
    <m/>
    <m/>
    <n v="12"/>
    <n v="0"/>
    <x v="0"/>
    <n v="0"/>
    <n v="0"/>
    <n v="0"/>
  </r>
  <r>
    <s v="Amazon Games"/>
    <x v="27"/>
    <x v="8"/>
    <n v="12"/>
    <m/>
    <m/>
    <n v="24"/>
    <n v="0"/>
    <x v="0"/>
    <n v="0"/>
    <n v="0"/>
    <n v="1"/>
  </r>
  <r>
    <s v="Roblox"/>
    <x v="27"/>
    <x v="5"/>
    <n v="0.5"/>
    <m/>
    <m/>
    <n v="16.5"/>
    <n v="0"/>
    <x v="0"/>
    <n v="0"/>
    <n v="0"/>
    <n v="1"/>
  </r>
  <r>
    <s v="Advantest"/>
    <x v="88"/>
    <x v="8"/>
    <n v="0"/>
    <m/>
    <m/>
    <n v="12"/>
    <n v="0"/>
    <x v="0"/>
    <n v="0"/>
    <n v="0"/>
    <n v="0"/>
  </r>
  <r>
    <s v="Analog Devices"/>
    <x v="88"/>
    <x v="4"/>
    <n v="3"/>
    <m/>
    <m/>
    <n v="11"/>
    <n v="0"/>
    <x v="0"/>
    <n v="0"/>
    <n v="0"/>
    <n v="1"/>
  </r>
  <r>
    <s v="Aruba Networks"/>
    <x v="88"/>
    <x v="14"/>
    <n v="2"/>
    <m/>
    <m/>
    <n v="26"/>
    <n v="0"/>
    <x v="0"/>
    <n v="0"/>
    <n v="0"/>
    <n v="1"/>
  </r>
  <r>
    <s v="Cadence Design Systems"/>
    <x v="88"/>
    <x v="8"/>
    <n v="4"/>
    <m/>
    <m/>
    <n v="16"/>
    <n v="0"/>
    <x v="0"/>
    <n v="0"/>
    <n v="0"/>
    <n v="1"/>
  </r>
  <r>
    <s v="Cirrus Logic"/>
    <x v="88"/>
    <x v="8"/>
    <n v="0"/>
    <m/>
    <m/>
    <n v="12"/>
    <n v="0"/>
    <x v="0"/>
    <n v="0"/>
    <n v="0"/>
    <n v="0"/>
  </r>
  <r>
    <s v="Ericsson"/>
    <x v="88"/>
    <x v="5"/>
    <n v="0"/>
    <m/>
    <m/>
    <n v="16"/>
    <n v="0"/>
    <x v="0"/>
    <n v="0"/>
    <n v="0"/>
    <n v="0"/>
  </r>
  <r>
    <s v="GlobalFoundries"/>
    <x v="88"/>
    <x v="23"/>
    <n v="0"/>
    <m/>
    <m/>
    <n v="20"/>
    <n v="0"/>
    <x v="0"/>
    <n v="0"/>
    <n v="0"/>
    <n v="0"/>
  </r>
  <r>
    <s v="HP Inc."/>
    <x v="88"/>
    <x v="2"/>
    <n v="6"/>
    <m/>
    <m/>
    <n v="20"/>
    <n v="0"/>
    <x v="0"/>
    <n v="0"/>
    <n v="0"/>
    <n v="1"/>
  </r>
  <r>
    <s v="Infineon Technologies"/>
    <x v="88"/>
    <x v="38"/>
    <m/>
    <n v="1"/>
    <m/>
    <n v="1"/>
    <n v="1"/>
    <x v="0"/>
    <n v="1"/>
    <n v="0"/>
    <n v="0"/>
  </r>
  <r>
    <s v="Itron"/>
    <x v="88"/>
    <x v="8"/>
    <n v="4"/>
    <m/>
    <m/>
    <n v="16"/>
    <n v="0"/>
    <x v="0"/>
    <n v="0"/>
    <n v="0"/>
    <n v="1"/>
  </r>
  <r>
    <s v="Juniper Networks"/>
    <x v="88"/>
    <x v="5"/>
    <n v="46"/>
    <m/>
    <m/>
    <n v="62"/>
    <n v="0"/>
    <x v="0"/>
    <n v="0"/>
    <n v="0"/>
    <n v="1"/>
  </r>
  <r>
    <s v="KLA-Tencor Corporation"/>
    <x v="88"/>
    <x v="8"/>
    <n v="6"/>
    <m/>
    <m/>
    <n v="18"/>
    <n v="0"/>
    <x v="0"/>
    <n v="0"/>
    <n v="0"/>
    <n v="1"/>
  </r>
  <r>
    <s v="Lenovo"/>
    <x v="88"/>
    <x v="14"/>
    <n v="0"/>
    <m/>
    <m/>
    <n v="24"/>
    <n v="0"/>
    <x v="0"/>
    <n v="0"/>
    <n v="0"/>
    <n v="0"/>
  </r>
  <r>
    <s v="Markforged"/>
    <x v="88"/>
    <x v="0"/>
    <n v="12"/>
    <m/>
    <m/>
    <n v="18"/>
    <n v="0"/>
    <x v="0"/>
    <n v="0"/>
    <n v="0"/>
    <n v="1"/>
  </r>
  <r>
    <s v="Molecular Devices"/>
    <x v="88"/>
    <x v="2"/>
    <n v="4"/>
    <m/>
    <m/>
    <n v="18"/>
    <n v="0"/>
    <x v="0"/>
    <n v="0"/>
    <n v="0"/>
    <n v="1"/>
  </r>
  <r>
    <s v="National Instruments"/>
    <x v="88"/>
    <x v="0"/>
    <n v="12"/>
    <m/>
    <m/>
    <n v="18"/>
    <n v="0"/>
    <x v="0"/>
    <n v="0"/>
    <n v="0"/>
    <n v="1"/>
  </r>
  <r>
    <s v="Roku"/>
    <x v="88"/>
    <x v="5"/>
    <n v="8"/>
    <m/>
    <m/>
    <n v="24"/>
    <n v="0"/>
    <x v="0"/>
    <n v="0"/>
    <n v="0"/>
    <n v="1"/>
  </r>
  <r>
    <s v="Seagate Technology"/>
    <x v="88"/>
    <x v="5"/>
    <n v="0"/>
    <m/>
    <m/>
    <n v="16"/>
    <n v="0"/>
    <x v="0"/>
    <n v="0"/>
    <n v="0"/>
    <n v="0"/>
  </r>
  <r>
    <s v="Siemens Energy"/>
    <x v="88"/>
    <x v="0"/>
    <n v="4"/>
    <m/>
    <m/>
    <n v="10"/>
    <n v="0"/>
    <x v="0"/>
    <n v="0"/>
    <n v="0"/>
    <n v="1"/>
  </r>
  <r>
    <s v="Snap Inc."/>
    <x v="88"/>
    <x v="2"/>
    <n v="8"/>
    <m/>
    <m/>
    <n v="22"/>
    <n v="0"/>
    <x v="0"/>
    <n v="0"/>
    <n v="0"/>
    <n v="1"/>
  </r>
  <r>
    <s v="Texas Instruments"/>
    <x v="88"/>
    <x v="8"/>
    <m/>
    <n v="4"/>
    <m/>
    <n v="12"/>
    <n v="4"/>
    <x v="0"/>
    <n v="1"/>
    <n v="0"/>
    <n v="0"/>
  </r>
  <r>
    <s v="Currencycloud"/>
    <x v="89"/>
    <x v="35"/>
    <n v="0"/>
    <m/>
    <m/>
    <n v="13"/>
    <n v="0"/>
    <x v="0"/>
    <n v="0"/>
    <n v="0"/>
    <n v="0"/>
  </r>
  <r>
    <s v="Gusto"/>
    <x v="89"/>
    <x v="5"/>
    <n v="10"/>
    <m/>
    <m/>
    <n v="26"/>
    <n v="0"/>
    <x v="0"/>
    <n v="0"/>
    <n v="0"/>
    <n v="1"/>
  </r>
  <r>
    <s v="Ingenico Group"/>
    <x v="89"/>
    <x v="8"/>
    <n v="40"/>
    <m/>
    <m/>
    <n v="52"/>
    <n v="0"/>
    <x v="0"/>
    <n v="0"/>
    <n v="0"/>
    <n v="1"/>
  </r>
  <r>
    <s v="MineralTree"/>
    <x v="89"/>
    <x v="8"/>
    <n v="0"/>
    <m/>
    <m/>
    <n v="12"/>
    <n v="0"/>
    <x v="0"/>
    <n v="0"/>
    <n v="0"/>
    <n v="0"/>
  </r>
  <r>
    <s v="Pangea Money Transfer"/>
    <x v="89"/>
    <x v="8"/>
    <n v="0"/>
    <m/>
    <m/>
    <n v="12"/>
    <n v="0"/>
    <x v="0"/>
    <n v="0"/>
    <n v="0"/>
    <n v="0"/>
  </r>
  <r>
    <s v="PayPal"/>
    <x v="89"/>
    <x v="35"/>
    <n v="3"/>
    <m/>
    <m/>
    <n v="16"/>
    <n v="0"/>
    <x v="0"/>
    <n v="0"/>
    <n v="0"/>
    <n v="1"/>
  </r>
  <r>
    <s v="Plastiq"/>
    <x v="89"/>
    <x v="8"/>
    <n v="6"/>
    <m/>
    <m/>
    <n v="18"/>
    <n v="0"/>
    <x v="0"/>
    <n v="0"/>
    <n v="0"/>
    <n v="1"/>
  </r>
  <r>
    <s v="Ramp"/>
    <x v="89"/>
    <x v="8"/>
    <n v="0"/>
    <m/>
    <m/>
    <n v="12"/>
    <n v="0"/>
    <x v="0"/>
    <n v="0"/>
    <n v="0"/>
    <n v="0"/>
  </r>
  <r>
    <s v="Square"/>
    <x v="89"/>
    <x v="5"/>
    <n v="0"/>
    <m/>
    <m/>
    <n v="16"/>
    <n v="0"/>
    <x v="0"/>
    <n v="0"/>
    <n v="0"/>
    <n v="0"/>
  </r>
  <r>
    <s v="Magic Leap"/>
    <x v="28"/>
    <x v="11"/>
    <n v="0"/>
    <m/>
    <m/>
    <n v="18"/>
    <n v="0"/>
    <x v="0"/>
    <n v="0"/>
    <n v="0"/>
    <n v="0"/>
  </r>
  <r>
    <s v="ADT Security Services"/>
    <x v="90"/>
    <x v="1"/>
    <n v="5"/>
    <m/>
    <m/>
    <n v="10"/>
    <n v="0"/>
    <x v="0"/>
    <n v="0"/>
    <n v="0"/>
    <n v="1"/>
  </r>
  <r>
    <s v="Alarm.com"/>
    <x v="90"/>
    <x v="4"/>
    <n v="0"/>
    <m/>
    <m/>
    <n v="8"/>
    <n v="0"/>
    <x v="0"/>
    <n v="0"/>
    <n v="0"/>
    <n v="0"/>
  </r>
  <r>
    <s v="Brivo"/>
    <x v="90"/>
    <x v="4"/>
    <n v="0"/>
    <m/>
    <m/>
    <n v="8"/>
    <n v="0"/>
    <x v="0"/>
    <n v="0"/>
    <n v="0"/>
    <n v="0"/>
  </r>
  <r>
    <s v="Coalfire"/>
    <x v="90"/>
    <x v="24"/>
    <n v="6"/>
    <m/>
    <m/>
    <n v="16"/>
    <n v="0"/>
    <x v="0"/>
    <n v="0"/>
    <n v="0"/>
    <n v="1"/>
  </r>
  <r>
    <s v="CrowdStrike"/>
    <x v="90"/>
    <x v="13"/>
    <n v="11"/>
    <m/>
    <m/>
    <n v="20"/>
    <n v="0"/>
    <x v="0"/>
    <n v="0"/>
    <n v="0"/>
    <n v="1"/>
  </r>
  <r>
    <s v="Entrust"/>
    <x v="90"/>
    <x v="8"/>
    <n v="2"/>
    <m/>
    <m/>
    <n v="14"/>
    <n v="0"/>
    <x v="0"/>
    <n v="0"/>
    <n v="0"/>
    <n v="1"/>
  </r>
  <r>
    <s v="RSA"/>
    <x v="90"/>
    <x v="11"/>
    <n v="0"/>
    <m/>
    <m/>
    <n v="18"/>
    <n v="0"/>
    <x v="0"/>
    <n v="0"/>
    <n v="0"/>
    <n v="0"/>
  </r>
  <r>
    <s v="Trustwave Holdings"/>
    <x v="90"/>
    <x v="8"/>
    <n v="12"/>
    <m/>
    <m/>
    <n v="24"/>
    <n v="0"/>
    <x v="0"/>
    <n v="0"/>
    <n v="0"/>
    <n v="1"/>
  </r>
  <r>
    <s v="Agilysys"/>
    <x v="29"/>
    <x v="0"/>
    <n v="0"/>
    <m/>
    <m/>
    <n v="6"/>
    <n v="0"/>
    <x v="0"/>
    <n v="0"/>
    <n v="0"/>
    <n v="0"/>
  </r>
  <r>
    <s v="Alkami Technology"/>
    <x v="29"/>
    <x v="8"/>
    <n v="0"/>
    <m/>
    <m/>
    <n v="12"/>
    <n v="0"/>
    <x v="0"/>
    <n v="0"/>
    <n v="0"/>
    <n v="0"/>
  </r>
  <r>
    <s v="Alteryx"/>
    <x v="29"/>
    <x v="8"/>
    <n v="0"/>
    <m/>
    <m/>
    <n v="12"/>
    <n v="0"/>
    <x v="0"/>
    <n v="0"/>
    <n v="0"/>
    <n v="0"/>
  </r>
  <r>
    <s v="Amplitude"/>
    <x v="29"/>
    <x v="8"/>
    <m/>
    <n v="12"/>
    <m/>
    <n v="12"/>
    <n v="12"/>
    <x v="0"/>
    <n v="1"/>
    <n v="0"/>
    <n v="0"/>
  </r>
  <r>
    <s v="Anant Corporation"/>
    <x v="29"/>
    <x v="9"/>
    <n v="2"/>
    <m/>
    <m/>
    <n v="6"/>
    <n v="0"/>
    <x v="0"/>
    <n v="0"/>
    <n v="0"/>
    <n v="1"/>
  </r>
  <r>
    <s v="Ansys"/>
    <x v="29"/>
    <x v="0"/>
    <n v="6"/>
    <m/>
    <m/>
    <n v="12"/>
    <n v="0"/>
    <x v="0"/>
    <n v="0"/>
    <n v="0"/>
    <n v="1"/>
  </r>
  <r>
    <s v="AppDynamics"/>
    <x v="29"/>
    <x v="35"/>
    <n v="0"/>
    <m/>
    <m/>
    <n v="13"/>
    <n v="0"/>
    <x v="0"/>
    <n v="0"/>
    <n v="0"/>
    <n v="0"/>
  </r>
  <r>
    <s v="Aquicore"/>
    <x v="29"/>
    <x v="8"/>
    <n v="0"/>
    <m/>
    <m/>
    <n v="12"/>
    <n v="0"/>
    <x v="0"/>
    <n v="0"/>
    <n v="0"/>
    <n v="0"/>
  </r>
  <r>
    <s v="ArisGlobal"/>
    <x v="29"/>
    <x v="8"/>
    <n v="4"/>
    <m/>
    <m/>
    <n v="16"/>
    <n v="0"/>
    <x v="0"/>
    <n v="0"/>
    <n v="0"/>
    <n v="1"/>
  </r>
  <r>
    <s v="Atlassian"/>
    <x v="29"/>
    <x v="42"/>
    <n v="0"/>
    <m/>
    <m/>
    <n v="25"/>
    <n v="0"/>
    <x v="0"/>
    <n v="0"/>
    <n v="0"/>
    <n v="0"/>
  </r>
  <r>
    <s v="Automox"/>
    <x v="29"/>
    <x v="8"/>
    <n v="0"/>
    <m/>
    <m/>
    <n v="12"/>
    <n v="0"/>
    <x v="0"/>
    <n v="0"/>
    <n v="0"/>
    <n v="0"/>
  </r>
  <r>
    <s v="Aware, Inc"/>
    <x v="29"/>
    <x v="56"/>
    <n v="0"/>
    <m/>
    <m/>
    <n v="15.5"/>
    <n v="0"/>
    <x v="0"/>
    <n v="0"/>
    <n v="0"/>
    <n v="0"/>
  </r>
  <r>
    <s v="Axon"/>
    <x v="29"/>
    <x v="8"/>
    <n v="0"/>
    <m/>
    <m/>
    <n v="12"/>
    <n v="0"/>
    <x v="0"/>
    <n v="0"/>
    <n v="0"/>
    <n v="0"/>
  </r>
  <r>
    <s v="Bentley Systems, Inc."/>
    <x v="29"/>
    <x v="0"/>
    <n v="6"/>
    <m/>
    <m/>
    <n v="12"/>
    <n v="0"/>
    <x v="0"/>
    <n v="0"/>
    <n v="0"/>
    <n v="1"/>
  </r>
  <r>
    <s v="BigCommerce"/>
    <x v="29"/>
    <x v="8"/>
    <n v="0"/>
    <m/>
    <m/>
    <n v="12"/>
    <n v="0"/>
    <x v="0"/>
    <n v="0"/>
    <n v="0"/>
    <n v="0"/>
  </r>
  <r>
    <s v="Bitdefender"/>
    <x v="29"/>
    <x v="45"/>
    <n v="52"/>
    <m/>
    <m/>
    <n v="104"/>
    <n v="0"/>
    <x v="0"/>
    <n v="0"/>
    <n v="0"/>
    <n v="1"/>
  </r>
  <r>
    <s v="Blackbaud"/>
    <x v="29"/>
    <x v="8"/>
    <n v="0"/>
    <m/>
    <m/>
    <n v="12"/>
    <n v="0"/>
    <x v="0"/>
    <n v="0"/>
    <n v="0"/>
    <n v="0"/>
  </r>
  <r>
    <s v="Bullhorn"/>
    <x v="29"/>
    <x v="8"/>
    <n v="0"/>
    <m/>
    <m/>
    <n v="12"/>
    <n v="0"/>
    <x v="0"/>
    <n v="0"/>
    <n v="0"/>
    <n v="0"/>
  </r>
  <r>
    <s v="CallRail"/>
    <x v="29"/>
    <x v="0"/>
    <n v="12"/>
    <m/>
    <m/>
    <n v="18"/>
    <n v="0"/>
    <x v="0"/>
    <n v="0"/>
    <n v="0"/>
    <n v="1"/>
  </r>
  <r>
    <s v="Canva"/>
    <x v="29"/>
    <x v="11"/>
    <n v="23"/>
    <m/>
    <m/>
    <n v="41"/>
    <n v="0"/>
    <x v="0"/>
    <n v="0"/>
    <n v="0"/>
    <n v="1"/>
  </r>
  <r>
    <s v="CareValidate"/>
    <x v="29"/>
    <x v="4"/>
    <n v="0"/>
    <m/>
    <m/>
    <n v="8"/>
    <n v="0"/>
    <x v="0"/>
    <n v="0"/>
    <n v="0"/>
    <n v="0"/>
  </r>
  <r>
    <s v="CentralSquare Technologies"/>
    <x v="29"/>
    <x v="8"/>
    <n v="0"/>
    <m/>
    <m/>
    <n v="12"/>
    <n v="0"/>
    <x v="0"/>
    <n v="0"/>
    <n v="0"/>
    <n v="0"/>
  </r>
  <r>
    <s v="Ceridian"/>
    <x v="29"/>
    <x v="2"/>
    <n v="1"/>
    <m/>
    <m/>
    <n v="15"/>
    <n v="0"/>
    <x v="0"/>
    <n v="0"/>
    <n v="0"/>
    <n v="1"/>
  </r>
  <r>
    <s v="Citrix"/>
    <x v="29"/>
    <x v="11"/>
    <n v="6"/>
    <m/>
    <m/>
    <n v="24"/>
    <n v="0"/>
    <x v="0"/>
    <n v="0"/>
    <n v="0"/>
    <n v="1"/>
  </r>
  <r>
    <s v="ClearPoint Strategy"/>
    <x v="29"/>
    <x v="0"/>
    <n v="0"/>
    <m/>
    <m/>
    <n v="6"/>
    <n v="0"/>
    <x v="0"/>
    <n v="0"/>
    <n v="0"/>
    <n v="0"/>
  </r>
  <r>
    <s v="Cludo"/>
    <x v="29"/>
    <x v="8"/>
    <n v="0"/>
    <m/>
    <m/>
    <n v="12"/>
    <n v="0"/>
    <x v="0"/>
    <n v="0"/>
    <n v="0"/>
    <n v="0"/>
  </r>
  <r>
    <s v="Collective Health"/>
    <x v="29"/>
    <x v="0"/>
    <n v="6"/>
    <m/>
    <m/>
    <n v="12"/>
    <n v="0"/>
    <x v="0"/>
    <n v="0"/>
    <n v="0"/>
    <n v="1"/>
  </r>
  <r>
    <s v="Collibra"/>
    <x v="29"/>
    <x v="21"/>
    <n v="6.5"/>
    <m/>
    <m/>
    <n v="27.5"/>
    <n v="0"/>
    <x v="0"/>
    <n v="0"/>
    <n v="0"/>
    <n v="1"/>
  </r>
  <r>
    <s v="Community Brands"/>
    <x v="29"/>
    <x v="0"/>
    <n v="12"/>
    <m/>
    <m/>
    <n v="18"/>
    <n v="0"/>
    <x v="0"/>
    <n v="0"/>
    <n v="0"/>
    <n v="1"/>
  </r>
  <r>
    <s v="ConsenSys"/>
    <x v="29"/>
    <x v="8"/>
    <n v="12"/>
    <m/>
    <m/>
    <n v="24"/>
    <n v="0"/>
    <x v="0"/>
    <n v="0"/>
    <n v="0"/>
    <n v="1"/>
  </r>
  <r>
    <s v="Conviva"/>
    <x v="29"/>
    <x v="0"/>
    <n v="6"/>
    <m/>
    <m/>
    <n v="12"/>
    <n v="0"/>
    <x v="0"/>
    <n v="0"/>
    <n v="0"/>
    <n v="1"/>
  </r>
  <r>
    <s v="Convoy"/>
    <x v="29"/>
    <x v="8"/>
    <n v="16"/>
    <m/>
    <m/>
    <n v="28"/>
    <n v="0"/>
    <x v="0"/>
    <n v="0"/>
    <n v="0"/>
    <n v="1"/>
  </r>
  <r>
    <s v="Coupa"/>
    <x v="29"/>
    <x v="6"/>
    <n v="9"/>
    <m/>
    <m/>
    <n v="12"/>
    <n v="0"/>
    <x v="0"/>
    <n v="0"/>
    <n v="0"/>
    <n v="1"/>
  </r>
  <r>
    <s v="Dassault Systemes"/>
    <x v="29"/>
    <x v="32"/>
    <n v="3"/>
    <m/>
    <m/>
    <n v="10"/>
    <n v="0"/>
    <x v="0"/>
    <n v="0"/>
    <n v="0"/>
    <n v="1"/>
  </r>
  <r>
    <s v="Detechtion Technologies"/>
    <x v="29"/>
    <x v="38"/>
    <n v="4"/>
    <m/>
    <m/>
    <n v="5"/>
    <n v="0"/>
    <x v="0"/>
    <n v="0"/>
    <n v="0"/>
    <n v="1"/>
  </r>
  <r>
    <s v="Digit"/>
    <x v="29"/>
    <x v="11"/>
    <n v="0"/>
    <m/>
    <m/>
    <n v="18"/>
    <n v="0"/>
    <x v="0"/>
    <n v="0"/>
    <n v="0"/>
    <n v="0"/>
  </r>
  <r>
    <s v="DISCO"/>
    <x v="29"/>
    <x v="8"/>
    <n v="0"/>
    <m/>
    <m/>
    <n v="12"/>
    <n v="0"/>
    <x v="0"/>
    <n v="0"/>
    <n v="0"/>
    <n v="0"/>
  </r>
  <r>
    <s v="Donnelley Financial Solutions"/>
    <x v="29"/>
    <x v="1"/>
    <n v="8"/>
    <m/>
    <m/>
    <n v="13"/>
    <n v="0"/>
    <x v="0"/>
    <n v="0"/>
    <n v="0"/>
    <n v="1"/>
  </r>
  <r>
    <s v="Doximity"/>
    <x v="29"/>
    <x v="8"/>
    <n v="0"/>
    <m/>
    <m/>
    <n v="12"/>
    <n v="0"/>
    <x v="0"/>
    <n v="0"/>
    <n v="0"/>
    <n v="0"/>
  </r>
  <r>
    <s v="DxMinds Technologies Inc"/>
    <x v="29"/>
    <x v="24"/>
    <n v="10"/>
    <m/>
    <m/>
    <n v="20"/>
    <n v="0"/>
    <x v="0"/>
    <n v="0"/>
    <n v="0"/>
    <n v="1"/>
  </r>
  <r>
    <s v="Dynatrace"/>
    <x v="29"/>
    <x v="45"/>
    <n v="52"/>
    <m/>
    <m/>
    <n v="104"/>
    <n v="0"/>
    <x v="0"/>
    <n v="0"/>
    <n v="0"/>
    <n v="1"/>
  </r>
  <r>
    <s v="Ellevation Education"/>
    <x v="29"/>
    <x v="4"/>
    <n v="0"/>
    <m/>
    <m/>
    <n v="8"/>
    <n v="0"/>
    <x v="0"/>
    <n v="0"/>
    <n v="0"/>
    <n v="0"/>
  </r>
  <r>
    <s v="Engrain"/>
    <x v="29"/>
    <x v="4"/>
    <n v="0"/>
    <m/>
    <m/>
    <n v="8"/>
    <n v="0"/>
    <x v="0"/>
    <n v="0"/>
    <n v="0"/>
    <n v="0"/>
  </r>
  <r>
    <s v="ePublishing"/>
    <x v="29"/>
    <x v="22"/>
    <n v="2"/>
    <m/>
    <m/>
    <n v="4"/>
    <n v="0"/>
    <x v="0"/>
    <n v="0"/>
    <n v="0"/>
    <n v="1"/>
  </r>
  <r>
    <s v="Esri"/>
    <x v="29"/>
    <x v="0"/>
    <n v="0"/>
    <m/>
    <m/>
    <n v="6"/>
    <n v="0"/>
    <x v="0"/>
    <n v="0"/>
    <n v="0"/>
    <n v="0"/>
  </r>
  <r>
    <s v="Expeed Software"/>
    <x v="29"/>
    <x v="14"/>
    <n v="0"/>
    <m/>
    <m/>
    <n v="24"/>
    <n v="0"/>
    <x v="0"/>
    <n v="0"/>
    <n v="0"/>
    <n v="0"/>
  </r>
  <r>
    <s v="Fearless"/>
    <x v="29"/>
    <x v="0"/>
    <n v="3"/>
    <m/>
    <m/>
    <n v="9"/>
    <n v="0"/>
    <x v="0"/>
    <n v="0"/>
    <n v="0"/>
    <n v="1"/>
  </r>
  <r>
    <s v="Flexera Software"/>
    <x v="29"/>
    <x v="4"/>
    <n v="8"/>
    <m/>
    <m/>
    <n v="16"/>
    <n v="0"/>
    <x v="0"/>
    <n v="0"/>
    <n v="0"/>
    <n v="1"/>
  </r>
  <r>
    <s v="FreshBooks"/>
    <x v="29"/>
    <x v="47"/>
    <n v="0"/>
    <m/>
    <m/>
    <n v="32"/>
    <n v="0"/>
    <x v="0"/>
    <n v="0"/>
    <n v="0"/>
    <n v="0"/>
  </r>
  <r>
    <s v="Freshworks"/>
    <x v="29"/>
    <x v="4"/>
    <n v="2"/>
    <m/>
    <m/>
    <n v="10"/>
    <n v="0"/>
    <x v="0"/>
    <n v="0"/>
    <n v="0"/>
    <n v="1"/>
  </r>
  <r>
    <s v="Frontline Education"/>
    <x v="29"/>
    <x v="13"/>
    <n v="3"/>
    <m/>
    <m/>
    <n v="12"/>
    <n v="0"/>
    <x v="0"/>
    <n v="0"/>
    <n v="0"/>
    <n v="1"/>
  </r>
  <r>
    <s v="Fusion Risk Management"/>
    <x v="29"/>
    <x v="8"/>
    <n v="0"/>
    <m/>
    <m/>
    <n v="12"/>
    <n v="0"/>
    <x v="0"/>
    <n v="0"/>
    <n v="0"/>
    <n v="0"/>
  </r>
  <r>
    <s v="GlossGenius"/>
    <x v="29"/>
    <x v="5"/>
    <n v="0"/>
    <m/>
    <m/>
    <n v="16"/>
    <n v="0"/>
    <x v="0"/>
    <n v="0"/>
    <n v="0"/>
    <n v="0"/>
  </r>
  <r>
    <s v="Gong"/>
    <x v="29"/>
    <x v="5"/>
    <n v="0"/>
    <m/>
    <m/>
    <n v="16"/>
    <n v="0"/>
    <x v="0"/>
    <n v="0"/>
    <n v="0"/>
    <n v="0"/>
  </r>
  <r>
    <s v="GoodCore Software"/>
    <x v="29"/>
    <x v="8"/>
    <n v="0"/>
    <m/>
    <m/>
    <n v="12"/>
    <n v="0"/>
    <x v="0"/>
    <n v="0"/>
    <n v="0"/>
    <n v="0"/>
  </r>
  <r>
    <s v="Higher Logic"/>
    <x v="29"/>
    <x v="8"/>
    <n v="0"/>
    <m/>
    <m/>
    <n v="12"/>
    <n v="0"/>
    <x v="0"/>
    <n v="0"/>
    <n v="0"/>
    <n v="0"/>
  </r>
  <r>
    <s v="HubSpot, Inc."/>
    <x v="29"/>
    <x v="5"/>
    <n v="8"/>
    <m/>
    <m/>
    <n v="24"/>
    <n v="0"/>
    <x v="0"/>
    <n v="0"/>
    <n v="0"/>
    <n v="1"/>
  </r>
  <r>
    <s v="Hudl"/>
    <x v="29"/>
    <x v="0"/>
    <n v="0"/>
    <m/>
    <m/>
    <n v="6"/>
    <n v="0"/>
    <x v="0"/>
    <n v="0"/>
    <n v="0"/>
    <n v="0"/>
  </r>
  <r>
    <s v="iCIMS, Inc."/>
    <x v="29"/>
    <x v="2"/>
    <n v="30"/>
    <m/>
    <m/>
    <n v="44"/>
    <n v="0"/>
    <x v="0"/>
    <n v="0"/>
    <n v="0"/>
    <n v="1"/>
  </r>
  <r>
    <s v="Infor"/>
    <x v="29"/>
    <x v="5"/>
    <n v="0"/>
    <m/>
    <m/>
    <n v="16"/>
    <n v="0"/>
    <x v="0"/>
    <n v="0"/>
    <n v="0"/>
    <n v="0"/>
  </r>
  <r>
    <s v="Informatica"/>
    <x v="29"/>
    <x v="5"/>
    <n v="0"/>
    <m/>
    <m/>
    <n v="16"/>
    <n v="0"/>
    <x v="0"/>
    <n v="0"/>
    <n v="0"/>
    <n v="0"/>
  </r>
  <r>
    <s v="InsightSquared"/>
    <x v="29"/>
    <x v="8"/>
    <n v="0"/>
    <m/>
    <m/>
    <n v="12"/>
    <n v="0"/>
    <x v="0"/>
    <n v="0"/>
    <n v="0"/>
    <n v="0"/>
  </r>
  <r>
    <s v="Instructure"/>
    <x v="29"/>
    <x v="6"/>
    <n v="9"/>
    <m/>
    <m/>
    <n v="12"/>
    <n v="0"/>
    <x v="0"/>
    <n v="0"/>
    <n v="0"/>
    <n v="1"/>
  </r>
  <r>
    <s v="Integrity Software"/>
    <x v="29"/>
    <x v="0"/>
    <n v="46"/>
    <m/>
    <m/>
    <n v="52"/>
    <n v="0"/>
    <x v="0"/>
    <n v="0"/>
    <n v="0"/>
    <n v="1"/>
  </r>
  <r>
    <s v="Intellimize"/>
    <x v="29"/>
    <x v="2"/>
    <n v="0"/>
    <m/>
    <m/>
    <n v="14"/>
    <n v="0"/>
    <x v="0"/>
    <n v="0"/>
    <n v="0"/>
    <n v="0"/>
  </r>
  <r>
    <s v="Intuit, Inc"/>
    <x v="29"/>
    <x v="8"/>
    <n v="8"/>
    <m/>
    <m/>
    <n v="20"/>
    <n v="0"/>
    <x v="0"/>
    <n v="0"/>
    <n v="0"/>
    <n v="1"/>
  </r>
  <r>
    <s v="JHC Systems"/>
    <x v="29"/>
    <x v="45"/>
    <n v="0"/>
    <m/>
    <m/>
    <n v="52"/>
    <n v="0"/>
    <x v="0"/>
    <n v="0"/>
    <n v="0"/>
    <n v="0"/>
  </r>
  <r>
    <s v="Juice Analytics"/>
    <x v="29"/>
    <x v="9"/>
    <n v="0"/>
    <m/>
    <m/>
    <n v="4"/>
    <n v="0"/>
    <x v="0"/>
    <n v="0"/>
    <n v="0"/>
    <n v="0"/>
  </r>
  <r>
    <s v="Kajabi"/>
    <x v="29"/>
    <x v="38"/>
    <n v="12"/>
    <m/>
    <m/>
    <n v="13"/>
    <n v="0"/>
    <x v="0"/>
    <n v="0"/>
    <n v="0"/>
    <n v="1"/>
  </r>
  <r>
    <s v="Khoros"/>
    <x v="29"/>
    <x v="8"/>
    <n v="3"/>
    <m/>
    <m/>
    <n v="15"/>
    <n v="0"/>
    <x v="0"/>
    <n v="0"/>
    <n v="0"/>
    <n v="1"/>
  </r>
  <r>
    <s v="LevaData"/>
    <x v="29"/>
    <x v="0"/>
    <n v="6"/>
    <m/>
    <m/>
    <n v="12"/>
    <n v="0"/>
    <x v="0"/>
    <n v="0"/>
    <n v="0"/>
    <n v="1"/>
  </r>
  <r>
    <s v="Lionbridge"/>
    <x v="29"/>
    <x v="4"/>
    <n v="4"/>
    <m/>
    <m/>
    <n v="12"/>
    <n v="0"/>
    <x v="0"/>
    <n v="0"/>
    <n v="0"/>
    <n v="1"/>
  </r>
  <r>
    <s v="Lithero"/>
    <x v="29"/>
    <x v="4"/>
    <n v="4"/>
    <m/>
    <m/>
    <n v="12"/>
    <n v="0"/>
    <x v="0"/>
    <n v="0"/>
    <n v="0"/>
    <n v="1"/>
  </r>
  <r>
    <s v="Mad Mobile"/>
    <x v="29"/>
    <x v="22"/>
    <n v="10"/>
    <m/>
    <m/>
    <n v="12"/>
    <n v="0"/>
    <x v="0"/>
    <n v="0"/>
    <n v="0"/>
    <n v="1"/>
  </r>
  <r>
    <s v="Maestro"/>
    <x v="29"/>
    <x v="5"/>
    <n v="0"/>
    <m/>
    <m/>
    <n v="16"/>
    <n v="0"/>
    <x v="0"/>
    <n v="0"/>
    <n v="0"/>
    <n v="0"/>
  </r>
  <r>
    <s v="Mapbox"/>
    <x v="29"/>
    <x v="24"/>
    <n v="2"/>
    <m/>
    <m/>
    <n v="12"/>
    <n v="0"/>
    <x v="0"/>
    <n v="0"/>
    <n v="0"/>
    <n v="1"/>
  </r>
  <r>
    <s v="MaritzCX"/>
    <x v="29"/>
    <x v="8"/>
    <n v="0"/>
    <m/>
    <m/>
    <n v="12"/>
    <n v="0"/>
    <x v="0"/>
    <n v="0"/>
    <n v="0"/>
    <n v="0"/>
  </r>
  <r>
    <s v="Medallia"/>
    <x v="29"/>
    <x v="8"/>
    <n v="2"/>
    <m/>
    <m/>
    <n v="14"/>
    <n v="0"/>
    <x v="0"/>
    <n v="0"/>
    <n v="0"/>
    <n v="1"/>
  </r>
  <r>
    <s v="Microsoft"/>
    <x v="29"/>
    <x v="8"/>
    <n v="3"/>
    <m/>
    <m/>
    <n v="15"/>
    <n v="0"/>
    <x v="0"/>
    <n v="0"/>
    <n v="0"/>
    <n v="1"/>
  </r>
  <r>
    <s v="MicroStrategy"/>
    <x v="29"/>
    <x v="37"/>
    <n v="6"/>
    <m/>
    <m/>
    <n v="23"/>
    <n v="0"/>
    <x v="0"/>
    <n v="0"/>
    <n v="0"/>
    <n v="1"/>
  </r>
  <r>
    <s v="MobileIron"/>
    <x v="29"/>
    <x v="8"/>
    <n v="16"/>
    <m/>
    <m/>
    <n v="28"/>
    <n v="0"/>
    <x v="0"/>
    <n v="0"/>
    <n v="0"/>
    <n v="1"/>
  </r>
  <r>
    <s v="Mode Mobile"/>
    <x v="29"/>
    <x v="9"/>
    <n v="8"/>
    <m/>
    <m/>
    <n v="12"/>
    <n v="0"/>
    <x v="0"/>
    <n v="0"/>
    <n v="0"/>
    <n v="1"/>
  </r>
  <r>
    <s v="MongoDB, Inc."/>
    <x v="29"/>
    <x v="23"/>
    <n v="0"/>
    <m/>
    <m/>
    <n v="20"/>
    <n v="0"/>
    <x v="0"/>
    <n v="0"/>
    <n v="0"/>
    <n v="0"/>
  </r>
  <r>
    <s v="Motus LLC"/>
    <x v="29"/>
    <x v="5"/>
    <n v="0"/>
    <m/>
    <m/>
    <n v="16"/>
    <n v="0"/>
    <x v="0"/>
    <n v="0"/>
    <n v="0"/>
    <n v="0"/>
  </r>
  <r>
    <s v="Netskope"/>
    <x v="29"/>
    <x v="0"/>
    <n v="0"/>
    <m/>
    <m/>
    <n v="6"/>
    <n v="0"/>
    <x v="0"/>
    <n v="0"/>
    <n v="0"/>
    <n v="0"/>
  </r>
  <r>
    <s v="NetSuite Inc."/>
    <x v="29"/>
    <x v="5"/>
    <n v="47"/>
    <m/>
    <m/>
    <n v="63"/>
    <n v="0"/>
    <x v="0"/>
    <n v="0"/>
    <n v="0"/>
    <n v="1"/>
  </r>
  <r>
    <s v="New Relic"/>
    <x v="29"/>
    <x v="8"/>
    <n v="6"/>
    <m/>
    <m/>
    <n v="18"/>
    <n v="0"/>
    <x v="0"/>
    <n v="0"/>
    <n v="0"/>
    <n v="1"/>
  </r>
  <r>
    <s v="Nextech"/>
    <x v="29"/>
    <x v="0"/>
    <n v="6"/>
    <m/>
    <m/>
    <n v="12"/>
    <n v="0"/>
    <x v="0"/>
    <n v="0"/>
    <n v="0"/>
    <n v="1"/>
  </r>
  <r>
    <s v="NextGen Healthcare"/>
    <x v="29"/>
    <x v="22"/>
    <n v="12"/>
    <m/>
    <m/>
    <n v="14"/>
    <n v="0"/>
    <x v="0"/>
    <n v="0"/>
    <n v="0"/>
    <n v="1"/>
  </r>
  <r>
    <s v="Nutanix"/>
    <x v="29"/>
    <x v="37"/>
    <n v="0"/>
    <m/>
    <m/>
    <n v="17"/>
    <n v="0"/>
    <x v="0"/>
    <n v="0"/>
    <n v="0"/>
    <n v="0"/>
  </r>
  <r>
    <s v="OfferFit"/>
    <x v="29"/>
    <x v="8"/>
    <n v="8"/>
    <m/>
    <m/>
    <n v="20"/>
    <n v="0"/>
    <x v="0"/>
    <n v="0"/>
    <n v="0"/>
    <n v="1"/>
  </r>
  <r>
    <s v="Palantir"/>
    <x v="29"/>
    <x v="27"/>
    <n v="38"/>
    <m/>
    <m/>
    <n v="68"/>
    <n v="0"/>
    <x v="0"/>
    <n v="0"/>
    <n v="0"/>
    <n v="1"/>
  </r>
  <r>
    <s v="PandaDoc"/>
    <x v="29"/>
    <x v="23"/>
    <n v="40"/>
    <m/>
    <m/>
    <n v="60"/>
    <n v="0"/>
    <x v="0"/>
    <n v="0"/>
    <n v="0"/>
    <n v="1"/>
  </r>
  <r>
    <s v="panOpen"/>
    <x v="29"/>
    <x v="22"/>
    <n v="0"/>
    <m/>
    <m/>
    <n v="2"/>
    <n v="0"/>
    <x v="0"/>
    <n v="0"/>
    <n v="0"/>
    <n v="0"/>
  </r>
  <r>
    <s v="Panopto, Inc."/>
    <x v="29"/>
    <x v="8"/>
    <n v="4"/>
    <m/>
    <m/>
    <n v="16"/>
    <n v="0"/>
    <x v="0"/>
    <n v="0"/>
    <n v="0"/>
    <n v="1"/>
  </r>
  <r>
    <s v="Patron Technology"/>
    <x v="29"/>
    <x v="2"/>
    <n v="8"/>
    <m/>
    <m/>
    <n v="22"/>
    <n v="0"/>
    <x v="0"/>
    <n v="0"/>
    <n v="0"/>
    <n v="1"/>
  </r>
  <r>
    <s v="Paylocity"/>
    <x v="29"/>
    <x v="32"/>
    <n v="5"/>
    <m/>
    <m/>
    <n v="12"/>
    <n v="0"/>
    <x v="0"/>
    <n v="0"/>
    <n v="0"/>
    <n v="1"/>
  </r>
  <r>
    <s v="Pear Therapeutics"/>
    <x v="29"/>
    <x v="0"/>
    <n v="4"/>
    <m/>
    <m/>
    <n v="10"/>
    <n v="0"/>
    <x v="0"/>
    <n v="0"/>
    <n v="0"/>
    <n v="1"/>
  </r>
  <r>
    <s v="Persistent Systems"/>
    <x v="29"/>
    <x v="8"/>
    <n v="0"/>
    <m/>
    <m/>
    <n v="12"/>
    <n v="0"/>
    <x v="0"/>
    <n v="0"/>
    <n v="0"/>
    <n v="0"/>
  </r>
  <r>
    <s v="Pexip"/>
    <x v="29"/>
    <x v="4"/>
    <n v="4"/>
    <m/>
    <m/>
    <n v="12"/>
    <n v="0"/>
    <x v="0"/>
    <n v="0"/>
    <n v="0"/>
    <n v="1"/>
  </r>
  <r>
    <s v="PhotoShelter"/>
    <x v="29"/>
    <x v="8"/>
    <n v="0"/>
    <m/>
    <m/>
    <n v="12"/>
    <n v="0"/>
    <x v="0"/>
    <n v="0"/>
    <n v="0"/>
    <n v="0"/>
  </r>
  <r>
    <s v="Praxent"/>
    <x v="29"/>
    <x v="22"/>
    <n v="2"/>
    <m/>
    <m/>
    <n v="4"/>
    <n v="0"/>
    <x v="0"/>
    <n v="0"/>
    <n v="0"/>
    <n v="1"/>
  </r>
  <r>
    <s v="Privitar Ltd"/>
    <x v="29"/>
    <x v="23"/>
    <n v="13"/>
    <m/>
    <m/>
    <n v="33"/>
    <n v="0"/>
    <x v="0"/>
    <n v="0"/>
    <n v="0"/>
    <n v="1"/>
  </r>
  <r>
    <s v="Procore Technologies"/>
    <x v="29"/>
    <x v="5"/>
    <n v="0"/>
    <m/>
    <m/>
    <n v="16"/>
    <n v="0"/>
    <x v="0"/>
    <n v="0"/>
    <n v="0"/>
    <n v="0"/>
  </r>
  <r>
    <s v="Qualtrics"/>
    <x v="29"/>
    <x v="0"/>
    <n v="12"/>
    <m/>
    <m/>
    <n v="18"/>
    <n v="0"/>
    <x v="0"/>
    <n v="0"/>
    <n v="0"/>
    <n v="1"/>
  </r>
  <r>
    <s v="Rangle.io"/>
    <x v="29"/>
    <x v="45"/>
    <n v="0"/>
    <m/>
    <m/>
    <n v="52"/>
    <n v="0"/>
    <x v="0"/>
    <n v="0"/>
    <n v="0"/>
    <n v="0"/>
  </r>
  <r>
    <s v="Red Hat"/>
    <x v="29"/>
    <x v="7"/>
    <n v="0"/>
    <m/>
    <m/>
    <n v="0"/>
    <n v="0"/>
    <x v="1"/>
    <n v="0"/>
    <n v="0"/>
    <n v="0"/>
  </r>
  <r>
    <s v="Rosetta Stone"/>
    <x v="29"/>
    <x v="2"/>
    <n v="0"/>
    <m/>
    <m/>
    <n v="14"/>
    <n v="0"/>
    <x v="0"/>
    <n v="0"/>
    <n v="0"/>
    <n v="0"/>
  </r>
  <r>
    <s v="Safety Labs Inc"/>
    <x v="29"/>
    <x v="12"/>
    <n v="0"/>
    <m/>
    <m/>
    <n v="15"/>
    <n v="0"/>
    <x v="0"/>
    <n v="0"/>
    <n v="0"/>
    <n v="0"/>
  </r>
  <r>
    <s v="Sage"/>
    <x v="29"/>
    <x v="8"/>
    <n v="0"/>
    <m/>
    <m/>
    <n v="12"/>
    <n v="0"/>
    <x v="0"/>
    <n v="0"/>
    <n v="0"/>
    <n v="0"/>
  </r>
  <r>
    <s v="SAP"/>
    <x v="29"/>
    <x v="8"/>
    <n v="3"/>
    <m/>
    <m/>
    <n v="15"/>
    <n v="0"/>
    <x v="0"/>
    <n v="0"/>
    <n v="0"/>
    <n v="1"/>
  </r>
  <r>
    <s v="SAS"/>
    <x v="29"/>
    <x v="4"/>
    <n v="4"/>
    <m/>
    <m/>
    <n v="12"/>
    <n v="0"/>
    <x v="0"/>
    <n v="0"/>
    <n v="0"/>
    <n v="1"/>
  </r>
  <r>
    <s v="Screencastify"/>
    <x v="29"/>
    <x v="0"/>
    <n v="12"/>
    <m/>
    <m/>
    <n v="18"/>
    <n v="0"/>
    <x v="0"/>
    <n v="0"/>
    <n v="0"/>
    <n v="1"/>
  </r>
  <r>
    <s v="ServiceTitan"/>
    <x v="29"/>
    <x v="8"/>
    <n v="11"/>
    <m/>
    <m/>
    <n v="23"/>
    <n v="0"/>
    <x v="0"/>
    <n v="0"/>
    <n v="0"/>
    <n v="1"/>
  </r>
  <r>
    <s v="Siemens Digital Industries Software"/>
    <x v="29"/>
    <x v="0"/>
    <n v="11"/>
    <m/>
    <m/>
    <n v="17"/>
    <n v="0"/>
    <x v="0"/>
    <n v="0"/>
    <n v="0"/>
    <n v="1"/>
  </r>
  <r>
    <s v="Signzy Technology Private Limited"/>
    <x v="29"/>
    <x v="6"/>
    <n v="3"/>
    <m/>
    <m/>
    <n v="6"/>
    <n v="0"/>
    <x v="0"/>
    <n v="0"/>
    <n v="0"/>
    <n v="1"/>
  </r>
  <r>
    <s v="SmartBear Software"/>
    <x v="29"/>
    <x v="5"/>
    <n v="0"/>
    <m/>
    <m/>
    <n v="16"/>
    <n v="0"/>
    <x v="0"/>
    <n v="0"/>
    <n v="0"/>
    <n v="0"/>
  </r>
  <r>
    <s v="Splunk"/>
    <x v="29"/>
    <x v="5"/>
    <n v="0"/>
    <m/>
    <m/>
    <n v="16"/>
    <n v="0"/>
    <x v="0"/>
    <n v="0"/>
    <n v="0"/>
    <n v="0"/>
  </r>
  <r>
    <s v="Storable"/>
    <x v="29"/>
    <x v="8"/>
    <n v="0"/>
    <m/>
    <m/>
    <n v="12"/>
    <n v="0"/>
    <x v="0"/>
    <n v="0"/>
    <n v="0"/>
    <n v="0"/>
  </r>
  <r>
    <s v="Tableau Software"/>
    <x v="29"/>
    <x v="8"/>
    <n v="0"/>
    <m/>
    <m/>
    <n v="12"/>
    <n v="0"/>
    <x v="0"/>
    <n v="0"/>
    <n v="0"/>
    <n v="0"/>
  </r>
  <r>
    <s v="Taboola"/>
    <x v="29"/>
    <x v="20"/>
    <n v="0"/>
    <m/>
    <m/>
    <n v="26"/>
    <n v="0"/>
    <x v="0"/>
    <n v="0"/>
    <n v="0"/>
    <n v="0"/>
  </r>
  <r>
    <s v="Talkdesk"/>
    <x v="29"/>
    <x v="5"/>
    <m/>
    <n v="8"/>
    <m/>
    <n v="16"/>
    <n v="8"/>
    <x v="0"/>
    <n v="1"/>
    <n v="0"/>
    <n v="0"/>
  </r>
  <r>
    <s v="TIBCO Software"/>
    <x v="29"/>
    <x v="2"/>
    <n v="10"/>
    <m/>
    <m/>
    <n v="24"/>
    <n v="0"/>
    <x v="0"/>
    <n v="0"/>
    <n v="0"/>
    <n v="1"/>
  </r>
  <r>
    <s v="Triton Digital"/>
    <x v="29"/>
    <x v="8"/>
    <n v="0"/>
    <m/>
    <m/>
    <n v="12"/>
    <n v="0"/>
    <x v="0"/>
    <n v="0"/>
    <n v="0"/>
    <n v="0"/>
  </r>
  <r>
    <s v="Veeva Systems"/>
    <x v="29"/>
    <x v="8"/>
    <n v="12"/>
    <m/>
    <m/>
    <n v="24"/>
    <n v="0"/>
    <x v="0"/>
    <n v="0"/>
    <n v="0"/>
    <n v="1"/>
  </r>
  <r>
    <s v="VMware"/>
    <x v="29"/>
    <x v="11"/>
    <n v="0"/>
    <m/>
    <m/>
    <n v="18"/>
    <n v="0"/>
    <x v="0"/>
    <n v="0"/>
    <n v="0"/>
    <n v="0"/>
  </r>
  <r>
    <s v="WGU Labs"/>
    <x v="29"/>
    <x v="8"/>
    <n v="12"/>
    <m/>
    <m/>
    <n v="24"/>
    <n v="0"/>
    <x v="0"/>
    <n v="0"/>
    <n v="0"/>
    <n v="1"/>
  </r>
  <r>
    <s v="Workday"/>
    <x v="29"/>
    <x v="8"/>
    <n v="0"/>
    <m/>
    <m/>
    <n v="12"/>
    <n v="0"/>
    <x v="0"/>
    <n v="0"/>
    <n v="0"/>
    <n v="0"/>
  </r>
  <r>
    <s v="WorkJam"/>
    <x v="29"/>
    <x v="45"/>
    <n v="0"/>
    <m/>
    <m/>
    <n v="52"/>
    <n v="0"/>
    <x v="0"/>
    <n v="0"/>
    <n v="0"/>
    <n v="0"/>
  </r>
  <r>
    <s v="Wrike, Inc."/>
    <x v="29"/>
    <x v="4"/>
    <n v="8"/>
    <m/>
    <m/>
    <n v="16"/>
    <n v="0"/>
    <x v="0"/>
    <n v="0"/>
    <n v="0"/>
    <n v="1"/>
  </r>
  <r>
    <s v="Xactly Corporation"/>
    <x v="29"/>
    <x v="0"/>
    <n v="6"/>
    <m/>
    <m/>
    <n v="12"/>
    <n v="0"/>
    <x v="0"/>
    <n v="0"/>
    <n v="0"/>
    <n v="1"/>
  </r>
  <r>
    <s v="Xandr"/>
    <x v="29"/>
    <x v="8"/>
    <n v="0"/>
    <m/>
    <m/>
    <n v="12"/>
    <n v="0"/>
    <x v="0"/>
    <n v="0"/>
    <n v="0"/>
    <n v="0"/>
  </r>
  <r>
    <s v="Zapier"/>
    <x v="29"/>
    <x v="2"/>
    <n v="0"/>
    <m/>
    <m/>
    <n v="14"/>
    <n v="0"/>
    <x v="0"/>
    <n v="0"/>
    <n v="0"/>
    <n v="0"/>
  </r>
  <r>
    <s v=" Charter Communications"/>
    <x v="30"/>
    <x v="4"/>
    <n v="12"/>
    <m/>
    <m/>
    <n v="20"/>
    <n v="0"/>
    <x v="0"/>
    <n v="0"/>
    <n v="0"/>
    <n v="1"/>
  </r>
  <r>
    <s v="Asurion"/>
    <x v="30"/>
    <x v="8"/>
    <n v="8"/>
    <m/>
    <m/>
    <n v="20"/>
    <n v="0"/>
    <x v="0"/>
    <n v="0"/>
    <n v="0"/>
    <n v="1"/>
  </r>
  <r>
    <s v="AT&amp;T"/>
    <x v="30"/>
    <x v="13"/>
    <n v="6"/>
    <m/>
    <m/>
    <n v="15"/>
    <n v="0"/>
    <x v="0"/>
    <n v="0"/>
    <n v="0"/>
    <n v="1"/>
  </r>
  <r>
    <s v="Ciena"/>
    <x v="30"/>
    <x v="11"/>
    <n v="0"/>
    <m/>
    <m/>
    <n v="18"/>
    <n v="0"/>
    <x v="0"/>
    <n v="0"/>
    <n v="0"/>
    <n v="0"/>
  </r>
  <r>
    <s v="Comcast"/>
    <x v="30"/>
    <x v="8"/>
    <n v="4"/>
    <m/>
    <m/>
    <n v="16"/>
    <n v="0"/>
    <x v="0"/>
    <n v="0"/>
    <n v="0"/>
    <n v="1"/>
  </r>
  <r>
    <s v="Cox"/>
    <x v="30"/>
    <x v="4"/>
    <n v="8"/>
    <m/>
    <m/>
    <n v="16"/>
    <n v="0"/>
    <x v="0"/>
    <n v="0"/>
    <n v="0"/>
    <n v="1"/>
  </r>
  <r>
    <s v="G Fiber"/>
    <x v="30"/>
    <x v="35"/>
    <n v="2"/>
    <m/>
    <m/>
    <n v="15"/>
    <n v="0"/>
    <x v="0"/>
    <n v="0"/>
    <n v="0"/>
    <n v="1"/>
  </r>
  <r>
    <s v="Hughes Network Systems"/>
    <x v="30"/>
    <x v="5"/>
    <n v="0"/>
    <m/>
    <m/>
    <n v="16"/>
    <n v="0"/>
    <x v="0"/>
    <n v="0"/>
    <n v="0"/>
    <n v="0"/>
  </r>
  <r>
    <s v="Qualcomm Incorporated"/>
    <x v="30"/>
    <x v="8"/>
    <n v="12"/>
    <m/>
    <m/>
    <n v="24"/>
    <n v="0"/>
    <x v="0"/>
    <n v="0"/>
    <n v="0"/>
    <n v="1"/>
  </r>
  <r>
    <s v="RingCentral, Inc."/>
    <x v="30"/>
    <x v="8"/>
    <n v="4"/>
    <m/>
    <m/>
    <n v="16"/>
    <n v="0"/>
    <x v="0"/>
    <n v="0"/>
    <n v="0"/>
    <n v="1"/>
  </r>
  <r>
    <s v="Telnyx"/>
    <x v="30"/>
    <x v="8"/>
    <n v="8"/>
    <m/>
    <m/>
    <n v="20"/>
    <n v="0"/>
    <x v="0"/>
    <n v="0"/>
    <n v="0"/>
    <n v="1"/>
  </r>
  <r>
    <s v="Viettel Group"/>
    <x v="30"/>
    <x v="14"/>
    <n v="52"/>
    <m/>
    <m/>
    <n v="76"/>
    <n v="0"/>
    <x v="0"/>
    <n v="0"/>
    <n v="0"/>
    <n v="1"/>
  </r>
  <r>
    <s v="Zara"/>
    <x v="180"/>
    <x v="0"/>
    <n v="4"/>
    <m/>
    <m/>
    <n v="10"/>
    <n v="0"/>
    <x v="0"/>
    <n v="0"/>
    <n v="0"/>
    <n v="1"/>
  </r>
  <r>
    <s v="FlixBus"/>
    <x v="181"/>
    <x v="45"/>
    <n v="0"/>
    <m/>
    <m/>
    <n v="52"/>
    <n v="0"/>
    <x v="0"/>
    <n v="0"/>
    <n v="0"/>
    <n v="0"/>
  </r>
  <r>
    <s v="UPS"/>
    <x v="91"/>
    <x v="6"/>
    <n v="8"/>
    <m/>
    <m/>
    <n v="11"/>
    <n v="0"/>
    <x v="0"/>
    <n v="0"/>
    <n v="0"/>
    <n v="1"/>
  </r>
  <r>
    <s v="CSX Corporation"/>
    <x v="92"/>
    <x v="5"/>
    <n v="52"/>
    <m/>
    <m/>
    <n v="68"/>
    <n v="0"/>
    <x v="0"/>
    <n v="0"/>
    <n v="0"/>
    <n v="1"/>
  </r>
  <r>
    <s v="Dematic"/>
    <x v="92"/>
    <x v="0"/>
    <n v="6"/>
    <m/>
    <m/>
    <n v="12"/>
    <n v="0"/>
    <x v="0"/>
    <n v="0"/>
    <n v="0"/>
    <n v="1"/>
  </r>
  <r>
    <s v="Echo Global Logistics"/>
    <x v="92"/>
    <x v="9"/>
    <n v="4"/>
    <m/>
    <m/>
    <n v="8"/>
    <n v="0"/>
    <x v="0"/>
    <n v="0"/>
    <n v="0"/>
    <n v="1"/>
  </r>
  <r>
    <s v="Redwood Logistics"/>
    <x v="92"/>
    <x v="41"/>
    <n v="1"/>
    <m/>
    <m/>
    <n v="5.5"/>
    <n v="0"/>
    <x v="0"/>
    <n v="0"/>
    <n v="0"/>
    <n v="1"/>
  </r>
  <r>
    <s v="Transplace"/>
    <x v="92"/>
    <x v="1"/>
    <n v="6"/>
    <m/>
    <m/>
    <n v="11"/>
    <n v="0"/>
    <x v="0"/>
    <n v="0"/>
    <n v="0"/>
    <n v="1"/>
  </r>
  <r>
    <s v="UniGroup"/>
    <x v="92"/>
    <x v="9"/>
    <n v="0"/>
    <m/>
    <m/>
    <n v="4"/>
    <n v="0"/>
    <x v="0"/>
    <n v="0"/>
    <n v="0"/>
    <n v="0"/>
  </r>
  <r>
    <s v="American Airlines"/>
    <x v="182"/>
    <x v="44"/>
    <n v="6"/>
    <m/>
    <m/>
    <n v="16.5"/>
    <n v="0"/>
    <x v="0"/>
    <n v="0"/>
    <n v="0"/>
    <n v="1"/>
  </r>
  <r>
    <s v="Southwest Airlines"/>
    <x v="182"/>
    <x v="8"/>
    <n v="12"/>
    <m/>
    <m/>
    <n v="24"/>
    <n v="0"/>
    <x v="0"/>
    <n v="0"/>
    <n v="0"/>
    <n v="1"/>
  </r>
  <r>
    <s v="United Airlines"/>
    <x v="182"/>
    <x v="0"/>
    <n v="0"/>
    <m/>
    <m/>
    <n v="6"/>
    <n v="0"/>
    <x v="0"/>
    <n v="0"/>
    <n v="0"/>
    <n v="0"/>
  </r>
  <r>
    <s v="Amtrak"/>
    <x v="93"/>
    <x v="0"/>
    <n v="0"/>
    <m/>
    <m/>
    <n v="6"/>
    <n v="0"/>
    <x v="0"/>
    <n v="0"/>
    <n v="0"/>
    <n v="0"/>
  </r>
  <r>
    <s v="BNSF Logistics"/>
    <x v="93"/>
    <x v="8"/>
    <n v="0"/>
    <m/>
    <m/>
    <n v="12"/>
    <n v="0"/>
    <x v="0"/>
    <n v="0"/>
    <n v="0"/>
    <n v="0"/>
  </r>
  <r>
    <s v="Kansas City Southern"/>
    <x v="93"/>
    <x v="0"/>
    <n v="6"/>
    <m/>
    <m/>
    <n v="12"/>
    <n v="0"/>
    <x v="0"/>
    <n v="0"/>
    <n v="0"/>
    <n v="1"/>
  </r>
  <r>
    <s v="Avis Budget Group, Inc."/>
    <x v="183"/>
    <x v="0"/>
    <n v="6"/>
    <m/>
    <m/>
    <n v="12"/>
    <n v="0"/>
    <x v="0"/>
    <n v="0"/>
    <n v="0"/>
    <n v="1"/>
  </r>
  <r>
    <s v="Enterprise Holdings"/>
    <x v="183"/>
    <x v="8"/>
    <n v="12"/>
    <m/>
    <m/>
    <n v="24"/>
    <n v="0"/>
    <x v="0"/>
    <n v="0"/>
    <n v="0"/>
    <n v="1"/>
  </r>
  <r>
    <s v="Hertz Global Holdings, Inc."/>
    <x v="183"/>
    <x v="8"/>
    <n v="0"/>
    <m/>
    <m/>
    <n v="12"/>
    <n v="0"/>
    <x v="0"/>
    <n v="0"/>
    <n v="0"/>
    <n v="0"/>
  </r>
  <r>
    <s v="ISO New England"/>
    <x v="184"/>
    <x v="22"/>
    <n v="8"/>
    <m/>
    <m/>
    <n v="10"/>
    <n v="0"/>
    <x v="0"/>
    <n v="0"/>
    <n v="0"/>
    <n v="1"/>
  </r>
  <r>
    <s v="Equinox"/>
    <x v="94"/>
    <x v="0"/>
    <n v="12"/>
    <m/>
    <m/>
    <n v="18"/>
    <n v="0"/>
    <x v="0"/>
    <n v="0"/>
    <n v="0"/>
    <n v="1"/>
  </r>
  <r>
    <s v="THE WELL"/>
    <x v="94"/>
    <x v="8"/>
    <n v="0"/>
    <m/>
    <m/>
    <n v="12"/>
    <n v="0"/>
    <x v="0"/>
    <n v="0"/>
    <n v="0"/>
    <n v="0"/>
  </r>
  <r>
    <s v="C&amp;S Wholesale Grocers"/>
    <x v="95"/>
    <x v="0"/>
    <n v="12"/>
    <m/>
    <m/>
    <n v="18"/>
    <n v="0"/>
    <x v="0"/>
    <n v="0"/>
    <n v="0"/>
    <n v="1"/>
  </r>
  <r>
    <s v="Martine's Wines"/>
    <x v="95"/>
    <x v="0"/>
    <n v="0"/>
    <m/>
    <m/>
    <n v="6"/>
    <n v="0"/>
    <x v="0"/>
    <n v="0"/>
    <n v="0"/>
    <n v="0"/>
  </r>
  <r>
    <s v="Sonepar"/>
    <x v="95"/>
    <x v="4"/>
    <n v="12"/>
    <m/>
    <m/>
    <n v="20"/>
    <n v="0"/>
    <x v="0"/>
    <n v="0"/>
    <n v="0"/>
    <n v="1"/>
  </r>
  <r>
    <s v="Sonepar USA"/>
    <x v="95"/>
    <x v="0"/>
    <n v="12"/>
    <m/>
    <m/>
    <n v="18"/>
    <n v="0"/>
    <x v="0"/>
    <n v="0"/>
    <n v="0"/>
    <n v="1"/>
  </r>
  <r>
    <s v="Worldwide Produce"/>
    <x v="95"/>
    <x v="0"/>
    <n v="0"/>
    <m/>
    <m/>
    <n v="6"/>
    <n v="0"/>
    <x v="0"/>
    <n v="0"/>
    <n v="0"/>
    <n v="0"/>
  </r>
  <r>
    <s v="Daggerwing Group Inc."/>
    <x v="0"/>
    <x v="38"/>
    <m/>
    <m/>
    <m/>
    <n v="1"/>
    <n v="0"/>
    <x v="0"/>
    <n v="0"/>
    <n v="0"/>
    <n v="0"/>
  </r>
  <r>
    <s v="KBS"/>
    <x v="0"/>
    <x v="22"/>
    <m/>
    <m/>
    <m/>
    <n v="2"/>
    <n v="0"/>
    <x v="0"/>
    <n v="0"/>
    <n v="0"/>
    <n v="0"/>
  </r>
  <r>
    <s v="Wilson Dow Group"/>
    <x v="0"/>
    <x v="38"/>
    <m/>
    <m/>
    <m/>
    <n v="1"/>
    <n v="0"/>
    <x v="0"/>
    <n v="0"/>
    <n v="0"/>
    <n v="0"/>
  </r>
  <r>
    <s v="Compass Group PLC"/>
    <x v="100"/>
    <x v="7"/>
    <m/>
    <m/>
    <m/>
    <n v="0"/>
    <n v="0"/>
    <x v="1"/>
    <n v="0"/>
    <n v="0"/>
    <n v="0"/>
  </r>
  <r>
    <s v="Hays PLC"/>
    <x v="3"/>
    <x v="22"/>
    <m/>
    <m/>
    <m/>
    <n v="2"/>
    <n v="0"/>
    <x v="0"/>
    <n v="0"/>
    <n v="0"/>
    <n v="0"/>
  </r>
  <r>
    <s v="S.i. Systems"/>
    <x v="3"/>
    <x v="7"/>
    <m/>
    <m/>
    <m/>
    <n v="0"/>
    <n v="0"/>
    <x v="1"/>
    <n v="0"/>
    <n v="0"/>
    <n v="0"/>
  </r>
  <r>
    <s v="Vectrus"/>
    <x v="37"/>
    <x v="57"/>
    <m/>
    <m/>
    <m/>
    <n v="40"/>
    <n v="0"/>
    <x v="0"/>
    <n v="0"/>
    <n v="0"/>
    <n v="0"/>
  </r>
  <r>
    <s v="Scentsy"/>
    <x v="39"/>
    <x v="45"/>
    <m/>
    <m/>
    <m/>
    <n v="52"/>
    <n v="0"/>
    <x v="0"/>
    <n v="0"/>
    <n v="0"/>
    <n v="0"/>
  </r>
  <r>
    <s v="Yankee Candle"/>
    <x v="39"/>
    <x v="8"/>
    <m/>
    <m/>
    <m/>
    <n v="12"/>
    <n v="0"/>
    <x v="0"/>
    <n v="0"/>
    <n v="0"/>
    <n v="0"/>
  </r>
  <r>
    <s v="Weill Cornell Medicine"/>
    <x v="7"/>
    <x v="49"/>
    <m/>
    <m/>
    <m/>
    <n v="12.5"/>
    <n v="0"/>
    <x v="0"/>
    <n v="0"/>
    <n v="0"/>
    <n v="0"/>
  </r>
  <r>
    <s v="Round Rock ISD"/>
    <x v="106"/>
    <x v="7"/>
    <m/>
    <m/>
    <m/>
    <n v="0"/>
    <n v="0"/>
    <x v="1"/>
    <n v="0"/>
    <n v="0"/>
    <n v="0"/>
  </r>
  <r>
    <s v="Austin Independent School District"/>
    <x v="110"/>
    <x v="38"/>
    <m/>
    <m/>
    <m/>
    <n v="1"/>
    <n v="0"/>
    <x v="0"/>
    <n v="0"/>
    <n v="0"/>
    <n v="0"/>
  </r>
  <r>
    <s v="Bain Capital"/>
    <x v="9"/>
    <x v="5"/>
    <m/>
    <m/>
    <m/>
    <n v="16"/>
    <n v="0"/>
    <x v="0"/>
    <n v="0"/>
    <n v="0"/>
    <n v="0"/>
  </r>
  <r>
    <s v="KKR &amp; Co. LP"/>
    <x v="9"/>
    <x v="5"/>
    <m/>
    <m/>
    <m/>
    <n v="16"/>
    <n v="0"/>
    <x v="0"/>
    <n v="0"/>
    <n v="0"/>
    <n v="0"/>
  </r>
  <r>
    <s v="Nationwide Building Society"/>
    <x v="44"/>
    <x v="20"/>
    <m/>
    <m/>
    <m/>
    <n v="26"/>
    <n v="0"/>
    <x v="0"/>
    <n v="0"/>
    <n v="0"/>
    <n v="0"/>
  </r>
  <r>
    <s v="Carbon Health"/>
    <x v="14"/>
    <x v="8"/>
    <m/>
    <m/>
    <m/>
    <n v="12"/>
    <n v="0"/>
    <x v="0"/>
    <n v="0"/>
    <n v="0"/>
    <n v="0"/>
  </r>
  <r>
    <s v="Nemours"/>
    <x v="14"/>
    <x v="7"/>
    <m/>
    <m/>
    <m/>
    <n v="0"/>
    <n v="0"/>
    <x v="1"/>
    <n v="0"/>
    <n v="0"/>
    <n v="0"/>
  </r>
  <r>
    <s v="ProMedica"/>
    <x v="14"/>
    <x v="7"/>
    <m/>
    <m/>
    <m/>
    <n v="0"/>
    <n v="0"/>
    <x v="1"/>
    <n v="0"/>
    <n v="0"/>
    <n v="0"/>
  </r>
  <r>
    <s v="Trinity Health System"/>
    <x v="14"/>
    <x v="22"/>
    <m/>
    <m/>
    <m/>
    <n v="2"/>
    <n v="0"/>
    <x v="0"/>
    <n v="0"/>
    <n v="0"/>
    <n v="0"/>
  </r>
  <r>
    <s v="University Hospitals"/>
    <x v="14"/>
    <x v="7"/>
    <m/>
    <m/>
    <m/>
    <n v="0"/>
    <n v="0"/>
    <x v="1"/>
    <n v="0"/>
    <n v="0"/>
    <n v="0"/>
  </r>
  <r>
    <s v="NxStage Medical, Inc."/>
    <x v="51"/>
    <x v="7"/>
    <m/>
    <m/>
    <m/>
    <n v="0"/>
    <n v="0"/>
    <x v="1"/>
    <n v="0"/>
    <n v="0"/>
    <n v="0"/>
  </r>
  <r>
    <s v="Intercontinental Hotels Group"/>
    <x v="53"/>
    <x v="58"/>
    <m/>
    <m/>
    <m/>
    <n v="50"/>
    <n v="0"/>
    <x v="0"/>
    <n v="0"/>
    <n v="0"/>
    <n v="0"/>
  </r>
  <r>
    <s v="Waffle House"/>
    <x v="54"/>
    <x v="0"/>
    <m/>
    <m/>
    <m/>
    <n v="6"/>
    <n v="0"/>
    <x v="0"/>
    <n v="0"/>
    <n v="0"/>
    <n v="0"/>
  </r>
  <r>
    <s v="Whataburger"/>
    <x v="54"/>
    <x v="57"/>
    <m/>
    <m/>
    <m/>
    <n v="40"/>
    <n v="0"/>
    <x v="0"/>
    <n v="0"/>
    <n v="0"/>
    <n v="0"/>
  </r>
  <r>
    <s v="Pella Windows and Doors"/>
    <x v="56"/>
    <x v="8"/>
    <m/>
    <m/>
    <m/>
    <n v="12"/>
    <n v="0"/>
    <x v="0"/>
    <n v="0"/>
    <n v="0"/>
    <n v="0"/>
  </r>
  <r>
    <s v="American Bridge Company"/>
    <x v="57"/>
    <x v="7"/>
    <m/>
    <m/>
    <m/>
    <n v="0"/>
    <n v="0"/>
    <x v="1"/>
    <n v="0"/>
    <n v="0"/>
    <n v="0"/>
  </r>
  <r>
    <s v="Black &amp; Veatch"/>
    <x v="57"/>
    <x v="8"/>
    <m/>
    <m/>
    <m/>
    <n v="12"/>
    <n v="0"/>
    <x v="0"/>
    <n v="0"/>
    <n v="0"/>
    <n v="0"/>
  </r>
  <r>
    <s v="Bhel"/>
    <x v="15"/>
    <x v="58"/>
    <m/>
    <m/>
    <m/>
    <n v="50"/>
    <n v="0"/>
    <x v="0"/>
    <n v="0"/>
    <n v="0"/>
    <n v="0"/>
  </r>
  <r>
    <s v="Macy's Technology"/>
    <x v="62"/>
    <x v="4"/>
    <m/>
    <m/>
    <m/>
    <n v="8"/>
    <n v="0"/>
    <x v="0"/>
    <n v="0"/>
    <n v="0"/>
    <n v="0"/>
  </r>
  <r>
    <s v="Wisetech Global"/>
    <x v="62"/>
    <x v="7"/>
    <m/>
    <m/>
    <m/>
    <n v="0"/>
    <n v="0"/>
    <x v="1"/>
    <n v="0"/>
    <n v="0"/>
    <n v="0"/>
  </r>
  <r>
    <s v="Yext"/>
    <x v="62"/>
    <x v="5"/>
    <m/>
    <m/>
    <m/>
    <n v="16"/>
    <n v="0"/>
    <x v="0"/>
    <n v="0"/>
    <n v="0"/>
    <n v="0"/>
  </r>
  <r>
    <s v="Matrix Absence Management, Inc."/>
    <x v="63"/>
    <x v="4"/>
    <m/>
    <m/>
    <m/>
    <n v="8"/>
    <n v="0"/>
    <x v="0"/>
    <n v="0"/>
    <n v="0"/>
    <n v="0"/>
  </r>
  <r>
    <s v="Elevance Health"/>
    <x v="16"/>
    <x v="0"/>
    <m/>
    <m/>
    <m/>
    <n v="6"/>
    <n v="0"/>
    <x v="0"/>
    <n v="0"/>
    <n v="0"/>
    <n v="0"/>
  </r>
  <r>
    <s v="Auto-Owners Insurance"/>
    <x v="65"/>
    <x v="38"/>
    <m/>
    <m/>
    <m/>
    <n v="1"/>
    <n v="0"/>
    <x v="0"/>
    <n v="0"/>
    <n v="0"/>
    <n v="0"/>
  </r>
  <r>
    <s v="Hapag-Lloyd"/>
    <x v="185"/>
    <x v="2"/>
    <m/>
    <m/>
    <m/>
    <n v="14"/>
    <n v="0"/>
    <x v="0"/>
    <n v="0"/>
    <n v="0"/>
    <n v="0"/>
  </r>
  <r>
    <s v="BASF"/>
    <x v="70"/>
    <x v="11"/>
    <m/>
    <m/>
    <m/>
    <n v="18"/>
    <n v="0"/>
    <x v="0"/>
    <n v="0"/>
    <n v="0"/>
    <n v="0"/>
  </r>
  <r>
    <s v="Alpha Natural Resources"/>
    <x v="18"/>
    <x v="0"/>
    <m/>
    <m/>
    <m/>
    <n v="6"/>
    <n v="0"/>
    <x v="0"/>
    <n v="0"/>
    <n v="0"/>
    <n v="0"/>
  </r>
  <r>
    <s v="Barrick Gold Corporation"/>
    <x v="18"/>
    <x v="27"/>
    <m/>
    <m/>
    <m/>
    <n v="30"/>
    <n v="0"/>
    <x v="0"/>
    <n v="0"/>
    <n v="0"/>
    <n v="0"/>
  </r>
  <r>
    <s v="BP"/>
    <x v="73"/>
    <x v="5"/>
    <m/>
    <m/>
    <m/>
    <n v="16"/>
    <n v="0"/>
    <x v="0"/>
    <n v="0"/>
    <n v="0"/>
    <n v="0"/>
  </r>
  <r>
    <s v="Halliburton"/>
    <x v="142"/>
    <x v="4"/>
    <m/>
    <m/>
    <m/>
    <n v="8"/>
    <n v="0"/>
    <x v="0"/>
    <n v="0"/>
    <n v="0"/>
    <n v="0"/>
  </r>
  <r>
    <s v="National Oilwell Varco, Inc."/>
    <x v="142"/>
    <x v="22"/>
    <m/>
    <m/>
    <m/>
    <n v="2"/>
    <n v="0"/>
    <x v="0"/>
    <n v="0"/>
    <n v="0"/>
    <n v="0"/>
  </r>
  <r>
    <s v="Silicon Valley Employers Forum"/>
    <x v="156"/>
    <x v="8"/>
    <m/>
    <m/>
    <m/>
    <n v="12"/>
    <n v="0"/>
    <x v="0"/>
    <n v="0"/>
    <n v="0"/>
    <n v="0"/>
  </r>
  <r>
    <s v="SPEEA"/>
    <x v="156"/>
    <x v="7"/>
    <m/>
    <m/>
    <m/>
    <n v="0"/>
    <n v="0"/>
    <x v="1"/>
    <n v="0"/>
    <n v="0"/>
    <n v="0"/>
  </r>
  <r>
    <s v="AmerisourceBergen"/>
    <x v="20"/>
    <x v="4"/>
    <m/>
    <m/>
    <m/>
    <n v="8"/>
    <n v="0"/>
    <x v="0"/>
    <n v="0"/>
    <n v="0"/>
    <n v="0"/>
  </r>
  <r>
    <s v="Transwestern"/>
    <x v="23"/>
    <x v="32"/>
    <m/>
    <m/>
    <m/>
    <n v="7"/>
    <n v="0"/>
    <x v="0"/>
    <n v="0"/>
    <n v="0"/>
    <n v="0"/>
  </r>
  <r>
    <s v="Trader JoeÕs"/>
    <x v="163"/>
    <x v="7"/>
    <m/>
    <m/>
    <m/>
    <n v="0"/>
    <n v="0"/>
    <x v="1"/>
    <n v="0"/>
    <n v="0"/>
    <n v="0"/>
  </r>
  <r>
    <s v="Harrods"/>
    <x v="84"/>
    <x v="24"/>
    <m/>
    <m/>
    <m/>
    <n v="10"/>
    <n v="0"/>
    <x v="0"/>
    <n v="0"/>
    <n v="0"/>
    <n v="0"/>
  </r>
  <r>
    <s v="Tractor Supply Company"/>
    <x v="167"/>
    <x v="0"/>
    <m/>
    <m/>
    <m/>
    <n v="6"/>
    <n v="0"/>
    <x v="0"/>
    <n v="0"/>
    <n v="0"/>
    <n v="0"/>
  </r>
  <r>
    <s v="American Eagle Outfitters"/>
    <x v="24"/>
    <x v="9"/>
    <m/>
    <m/>
    <m/>
    <n v="4"/>
    <n v="0"/>
    <x v="0"/>
    <n v="0"/>
    <n v="0"/>
    <n v="0"/>
  </r>
  <r>
    <s v="LVMH"/>
    <x v="24"/>
    <x v="24"/>
    <m/>
    <m/>
    <m/>
    <n v="10"/>
    <n v="0"/>
    <x v="0"/>
    <n v="0"/>
    <n v="0"/>
    <n v="0"/>
  </r>
  <r>
    <s v="Steve Madden"/>
    <x v="24"/>
    <x v="0"/>
    <m/>
    <m/>
    <m/>
    <n v="6"/>
    <n v="0"/>
    <x v="0"/>
    <n v="0"/>
    <n v="0"/>
    <n v="0"/>
  </r>
  <r>
    <s v="Food Lion"/>
    <x v="86"/>
    <x v="7"/>
    <m/>
    <m/>
    <m/>
    <n v="0"/>
    <n v="0"/>
    <x v="1"/>
    <n v="0"/>
    <n v="0"/>
    <n v="0"/>
  </r>
  <r>
    <s v="Bright Horizons"/>
    <x v="173"/>
    <x v="7"/>
    <m/>
    <m/>
    <m/>
    <n v="0"/>
    <n v="0"/>
    <x v="1"/>
    <n v="0"/>
    <n v="0"/>
    <n v="0"/>
  </r>
  <r>
    <s v="Talent Inc."/>
    <x v="174"/>
    <x v="24"/>
    <m/>
    <m/>
    <m/>
    <n v="10"/>
    <n v="0"/>
    <x v="0"/>
    <n v="0"/>
    <n v="0"/>
    <n v="0"/>
  </r>
  <r>
    <s v="SHI International Corp."/>
    <x v="25"/>
    <x v="7"/>
    <m/>
    <m/>
    <m/>
    <n v="0"/>
    <n v="0"/>
    <x v="1"/>
    <n v="0"/>
    <n v="0"/>
    <n v="0"/>
  </r>
  <r>
    <s v="Vistaprint"/>
    <x v="26"/>
    <x v="5"/>
    <m/>
    <m/>
    <m/>
    <n v="16"/>
    <n v="0"/>
    <x v="0"/>
    <n v="0"/>
    <n v="0"/>
    <n v="0"/>
  </r>
  <r>
    <s v="Fujifilm Global"/>
    <x v="88"/>
    <x v="8"/>
    <m/>
    <m/>
    <m/>
    <n v="12"/>
    <n v="0"/>
    <x v="0"/>
    <n v="0"/>
    <n v="0"/>
    <n v="0"/>
  </r>
  <r>
    <s v="PlayStation"/>
    <x v="88"/>
    <x v="8"/>
    <m/>
    <m/>
    <m/>
    <n v="12"/>
    <n v="0"/>
    <x v="0"/>
    <n v="0"/>
    <n v="0"/>
    <n v="0"/>
  </r>
  <r>
    <s v="Druva"/>
    <x v="29"/>
    <x v="22"/>
    <m/>
    <m/>
    <m/>
    <n v="2"/>
    <n v="0"/>
    <x v="0"/>
    <n v="0"/>
    <n v="0"/>
    <n v="0"/>
  </r>
  <r>
    <s v="SurveyGizmo"/>
    <x v="29"/>
    <x v="9"/>
    <m/>
    <m/>
    <m/>
    <n v="4"/>
    <n v="0"/>
    <x v="0"/>
    <n v="0"/>
    <n v="0"/>
    <n v="0"/>
  </r>
  <r>
    <s v="Xero"/>
    <x v="29"/>
    <x v="0"/>
    <m/>
    <m/>
    <m/>
    <n v="6"/>
    <n v="0"/>
    <x v="0"/>
    <n v="0"/>
    <n v="0"/>
    <n v="0"/>
  </r>
  <r>
    <s v="Fedex Supply Chain"/>
    <x v="92"/>
    <x v="22"/>
    <m/>
    <m/>
    <m/>
    <n v="2"/>
    <n v="0"/>
    <x v="0"/>
    <n v="0"/>
    <n v="0"/>
    <n v="0"/>
  </r>
  <r>
    <s v="Schneider National"/>
    <x v="92"/>
    <x v="7"/>
    <m/>
    <m/>
    <m/>
    <n v="0"/>
    <n v="0"/>
    <x v="1"/>
    <n v="0"/>
    <n v="0"/>
    <n v="0"/>
  </r>
  <r>
    <s v="HD Supply"/>
    <x v="95"/>
    <x v="2"/>
    <m/>
    <m/>
    <m/>
    <n v="14"/>
    <n v="0"/>
    <x v="0"/>
    <n v="0"/>
    <n v="0"/>
    <n v="0"/>
  </r>
  <r>
    <s v="Merrimac Industrial Sales"/>
    <x v="95"/>
    <x v="7"/>
    <m/>
    <m/>
    <m/>
    <n v="0"/>
    <n v="0"/>
    <x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A9BDBE-5BFA-4057-825A-C58DC981B82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90" firstHeaderRow="0" firstDataRow="1" firstDataCol="1"/>
  <pivotFields count="13">
    <pivotField dataField="1" showAll="0"/>
    <pivotField axis="axisRow" showAll="0">
      <items count="187">
        <item x="31"/>
        <item x="0"/>
        <item x="96"/>
        <item x="32"/>
        <item x="1"/>
        <item x="97"/>
        <item x="33"/>
        <item x="98"/>
        <item x="34"/>
        <item x="99"/>
        <item x="100"/>
        <item x="35"/>
        <item x="2"/>
        <item x="101"/>
        <item x="3"/>
        <item x="36"/>
        <item x="102"/>
        <item x="103"/>
        <item x="37"/>
        <item x="4"/>
        <item x="38"/>
        <item x="5"/>
        <item x="39"/>
        <item x="104"/>
        <item x="40"/>
        <item x="41"/>
        <item x="6"/>
        <item x="105"/>
        <item x="7"/>
        <item x="42"/>
        <item x="106"/>
        <item x="107"/>
        <item x="108"/>
        <item x="109"/>
        <item x="110"/>
        <item x="111"/>
        <item x="8"/>
        <item x="112"/>
        <item x="113"/>
        <item x="9"/>
        <item x="43"/>
        <item x="114"/>
        <item x="44"/>
        <item x="115"/>
        <item x="45"/>
        <item x="46"/>
        <item x="116"/>
        <item x="117"/>
        <item x="10"/>
        <item x="11"/>
        <item x="12"/>
        <item x="47"/>
        <item x="118"/>
        <item x="48"/>
        <item x="119"/>
        <item x="49"/>
        <item x="13"/>
        <item x="120"/>
        <item x="14"/>
        <item x="50"/>
        <item x="51"/>
        <item x="121"/>
        <item x="122"/>
        <item x="52"/>
        <item x="123"/>
        <item x="124"/>
        <item x="53"/>
        <item x="125"/>
        <item x="126"/>
        <item x="54"/>
        <item x="127"/>
        <item x="55"/>
        <item x="56"/>
        <item x="57"/>
        <item x="58"/>
        <item x="128"/>
        <item x="15"/>
        <item x="129"/>
        <item x="59"/>
        <item x="60"/>
        <item x="61"/>
        <item x="130"/>
        <item x="62"/>
        <item x="131"/>
        <item x="132"/>
        <item x="63"/>
        <item x="16"/>
        <item x="64"/>
        <item x="65"/>
        <item x="133"/>
        <item x="66"/>
        <item x="134"/>
        <item x="67"/>
        <item x="185"/>
        <item x="135"/>
        <item x="68"/>
        <item x="136"/>
        <item x="137"/>
        <item x="138"/>
        <item x="17"/>
        <item x="139"/>
        <item x="69"/>
        <item x="140"/>
        <item x="70"/>
        <item x="141"/>
        <item x="71"/>
        <item x="72"/>
        <item x="18"/>
        <item x="73"/>
        <item x="142"/>
        <item x="74"/>
        <item x="75"/>
        <item x="143"/>
        <item x="144"/>
        <item x="76"/>
        <item x="145"/>
        <item x="146"/>
        <item x="147"/>
        <item x="77"/>
        <item x="148"/>
        <item x="149"/>
        <item x="150"/>
        <item x="151"/>
        <item x="152"/>
        <item x="153"/>
        <item x="154"/>
        <item x="78"/>
        <item x="19"/>
        <item x="79"/>
        <item x="155"/>
        <item x="156"/>
        <item x="157"/>
        <item x="20"/>
        <item x="21"/>
        <item x="80"/>
        <item x="81"/>
        <item x="158"/>
        <item x="82"/>
        <item x="22"/>
        <item x="159"/>
        <item x="23"/>
        <item x="160"/>
        <item x="161"/>
        <item x="162"/>
        <item x="83"/>
        <item x="163"/>
        <item x="164"/>
        <item x="84"/>
        <item x="165"/>
        <item x="166"/>
        <item x="85"/>
        <item x="167"/>
        <item x="168"/>
        <item x="169"/>
        <item x="170"/>
        <item x="171"/>
        <item x="24"/>
        <item x="172"/>
        <item x="86"/>
        <item x="173"/>
        <item x="174"/>
        <item x="175"/>
        <item x="176"/>
        <item x="177"/>
        <item x="178"/>
        <item x="179"/>
        <item x="25"/>
        <item x="26"/>
        <item x="87"/>
        <item x="27"/>
        <item x="88"/>
        <item x="89"/>
        <item x="28"/>
        <item x="90"/>
        <item x="29"/>
        <item x="30"/>
        <item x="180"/>
        <item x="181"/>
        <item x="91"/>
        <item x="92"/>
        <item x="182"/>
        <item x="93"/>
        <item x="183"/>
        <item x="184"/>
        <item x="94"/>
        <item x="95"/>
        <item t="default"/>
      </items>
    </pivotField>
    <pivotField showAll="0">
      <items count="60">
        <item x="7"/>
        <item x="38"/>
        <item x="51"/>
        <item x="22"/>
        <item x="10"/>
        <item x="6"/>
        <item x="17"/>
        <item x="9"/>
        <item x="41"/>
        <item x="1"/>
        <item x="31"/>
        <item x="0"/>
        <item x="30"/>
        <item x="32"/>
        <item x="16"/>
        <item x="4"/>
        <item x="34"/>
        <item x="13"/>
        <item x="18"/>
        <item x="24"/>
        <item x="44"/>
        <item x="15"/>
        <item x="25"/>
        <item x="8"/>
        <item x="49"/>
        <item x="35"/>
        <item x="43"/>
        <item x="2"/>
        <item x="12"/>
        <item x="56"/>
        <item x="5"/>
        <item x="50"/>
        <item x="37"/>
        <item x="11"/>
        <item x="53"/>
        <item x="36"/>
        <item x="46"/>
        <item x="23"/>
        <item x="3"/>
        <item x="21"/>
        <item x="55"/>
        <item x="29"/>
        <item x="14"/>
        <item x="42"/>
        <item x="20"/>
        <item x="54"/>
        <item x="26"/>
        <item x="27"/>
        <item x="47"/>
        <item x="28"/>
        <item x="39"/>
        <item x="33"/>
        <item x="57"/>
        <item x="48"/>
        <item x="52"/>
        <item x="40"/>
        <item x="58"/>
        <item x="19"/>
        <item x="45"/>
        <item t="default"/>
      </items>
    </pivotField>
    <pivotField showAll="0"/>
    <pivotField showAll="0"/>
    <pivotField showAll="0"/>
    <pivotField showAll="0"/>
    <pivotField showAll="0"/>
    <pivotField dataField="1" showAll="0">
      <items count="3">
        <item x="1"/>
        <item x="0"/>
        <item t="default"/>
      </items>
    </pivotField>
    <pivotField dataField="1" showAll="0"/>
    <pivotField dataField="1" showAll="0"/>
    <pivotField dataField="1" showAll="0"/>
    <pivotField dragToRow="0" dragToCol="0" dragToPage="0" showAll="0" defaultSubtotal="0"/>
  </pivotFields>
  <rowFields count="1">
    <field x="1"/>
  </rowFields>
  <rowItems count="1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Company" fld="0" subtotal="count" baseField="0" baseItem="0"/>
    <dataField name="Sum of Offers paid Maternity Leave?" fld="8" baseField="0" baseItem="0"/>
    <dataField name="Sum of Offers Paid Paternity leave?" fld="9" baseField="0" baseItem="0"/>
    <dataField name="Sum of Offers Unpaid Paternity Leave? " fld="10" baseField="0" baseItem="0"/>
    <dataField name="Sum of Offers Unpaid Maternity leave?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951BB-BCE7-4681-9148-5BAAF89AF4F5}">
  <dimension ref="A3:G388"/>
  <sheetViews>
    <sheetView tabSelected="1" topLeftCell="A2" workbookViewId="0">
      <selection activeCell="C12" sqref="C12"/>
    </sheetView>
  </sheetViews>
  <sheetFormatPr defaultRowHeight="15" x14ac:dyDescent="0.25"/>
  <cols>
    <col min="1" max="1" width="47.5703125" bestFit="1" customWidth="1"/>
    <col min="2" max="2" width="28.42578125" customWidth="1"/>
    <col min="3" max="3" width="34.140625" bestFit="1" customWidth="1"/>
    <col min="4" max="4" width="33" bestFit="1" customWidth="1"/>
    <col min="5" max="6" width="36.42578125" bestFit="1" customWidth="1"/>
    <col min="7" max="7" width="44.42578125" bestFit="1" customWidth="1"/>
  </cols>
  <sheetData>
    <row r="3" spans="1:6" x14ac:dyDescent="0.25">
      <c r="A3" s="1" t="s">
        <v>1798</v>
      </c>
      <c r="B3" t="s">
        <v>1800</v>
      </c>
      <c r="C3" t="s">
        <v>1801</v>
      </c>
      <c r="D3" t="s">
        <v>1802</v>
      </c>
      <c r="E3" t="s">
        <v>1803</v>
      </c>
      <c r="F3" t="s">
        <v>1804</v>
      </c>
    </row>
    <row r="4" spans="1:6" x14ac:dyDescent="0.25">
      <c r="A4" s="2" t="s">
        <v>84</v>
      </c>
      <c r="B4" s="3">
        <v>13</v>
      </c>
      <c r="C4" s="3">
        <v>13</v>
      </c>
      <c r="D4" s="3">
        <v>5</v>
      </c>
      <c r="E4" s="3">
        <v>1</v>
      </c>
      <c r="F4" s="3">
        <v>8</v>
      </c>
    </row>
    <row r="5" spans="1:6" x14ac:dyDescent="0.25">
      <c r="A5" s="2" t="s">
        <v>9</v>
      </c>
      <c r="B5" s="3">
        <v>50</v>
      </c>
      <c r="C5" s="3">
        <v>50</v>
      </c>
      <c r="D5" s="3">
        <v>2</v>
      </c>
      <c r="E5" s="3">
        <v>1</v>
      </c>
      <c r="F5" s="3">
        <v>29</v>
      </c>
    </row>
    <row r="6" spans="1:6" x14ac:dyDescent="0.25">
      <c r="A6" s="2" t="s">
        <v>424</v>
      </c>
      <c r="B6" s="3">
        <v>3</v>
      </c>
      <c r="C6" s="3">
        <v>3</v>
      </c>
      <c r="D6" s="3">
        <v>0</v>
      </c>
      <c r="E6" s="3">
        <v>0</v>
      </c>
      <c r="F6" s="3">
        <v>2</v>
      </c>
    </row>
    <row r="7" spans="1:6" x14ac:dyDescent="0.25">
      <c r="A7" s="2" t="s">
        <v>91</v>
      </c>
      <c r="B7" s="3">
        <v>9</v>
      </c>
      <c r="C7" s="3">
        <v>9</v>
      </c>
      <c r="D7" s="3">
        <v>5</v>
      </c>
      <c r="E7" s="3">
        <v>0</v>
      </c>
      <c r="F7" s="3">
        <v>7</v>
      </c>
    </row>
    <row r="8" spans="1:6" x14ac:dyDescent="0.25">
      <c r="A8" s="2" t="s">
        <v>11</v>
      </c>
      <c r="B8" s="3">
        <v>7</v>
      </c>
      <c r="C8" s="3">
        <v>6</v>
      </c>
      <c r="D8" s="3">
        <v>2</v>
      </c>
      <c r="E8" s="3">
        <v>1</v>
      </c>
      <c r="F8" s="3">
        <v>4</v>
      </c>
    </row>
    <row r="9" spans="1:6" x14ac:dyDescent="0.25">
      <c r="A9" s="2" t="s">
        <v>438</v>
      </c>
      <c r="B9" s="3">
        <v>2</v>
      </c>
      <c r="C9" s="3">
        <v>2</v>
      </c>
      <c r="D9" s="3">
        <v>0</v>
      </c>
      <c r="E9" s="3">
        <v>0</v>
      </c>
      <c r="F9" s="3">
        <v>1</v>
      </c>
    </row>
    <row r="10" spans="1:6" x14ac:dyDescent="0.25">
      <c r="A10" s="2" t="s">
        <v>96</v>
      </c>
      <c r="B10" s="3">
        <v>6</v>
      </c>
      <c r="C10" s="3">
        <v>6</v>
      </c>
      <c r="D10" s="3">
        <v>3</v>
      </c>
      <c r="E10" s="3">
        <v>0</v>
      </c>
      <c r="F10" s="3">
        <v>4</v>
      </c>
    </row>
    <row r="11" spans="1:6" x14ac:dyDescent="0.25">
      <c r="A11" s="2" t="s">
        <v>443</v>
      </c>
      <c r="B11" s="3">
        <v>1</v>
      </c>
      <c r="C11" s="3">
        <v>1</v>
      </c>
      <c r="D11" s="3">
        <v>0</v>
      </c>
      <c r="E11" s="3">
        <v>0</v>
      </c>
      <c r="F11" s="3">
        <v>1</v>
      </c>
    </row>
    <row r="12" spans="1:6" x14ac:dyDescent="0.25">
      <c r="A12" s="2" t="s">
        <v>101</v>
      </c>
      <c r="B12" s="3">
        <v>6</v>
      </c>
      <c r="C12" s="3">
        <v>5</v>
      </c>
      <c r="D12" s="3">
        <v>0</v>
      </c>
      <c r="E12" s="3">
        <v>0</v>
      </c>
      <c r="F12" s="3">
        <v>3</v>
      </c>
    </row>
    <row r="13" spans="1:6" x14ac:dyDescent="0.25">
      <c r="A13" s="2" t="s">
        <v>450</v>
      </c>
      <c r="B13" s="3">
        <v>1</v>
      </c>
      <c r="C13" s="3">
        <v>1</v>
      </c>
      <c r="D13" s="3">
        <v>0</v>
      </c>
      <c r="E13" s="3">
        <v>0</v>
      </c>
      <c r="F13" s="3">
        <v>0</v>
      </c>
    </row>
    <row r="14" spans="1:6" x14ac:dyDescent="0.25">
      <c r="A14" s="2" t="s">
        <v>452</v>
      </c>
      <c r="B14" s="3">
        <v>3</v>
      </c>
      <c r="C14" s="3">
        <v>2</v>
      </c>
      <c r="D14" s="3">
        <v>0</v>
      </c>
      <c r="E14" s="3">
        <v>0</v>
      </c>
      <c r="F14" s="3">
        <v>2</v>
      </c>
    </row>
    <row r="15" spans="1:6" x14ac:dyDescent="0.25">
      <c r="A15" s="2" t="s">
        <v>103</v>
      </c>
      <c r="B15" s="3">
        <v>5</v>
      </c>
      <c r="C15" s="3">
        <v>5</v>
      </c>
      <c r="D15" s="3">
        <v>1</v>
      </c>
      <c r="E15" s="3">
        <v>0</v>
      </c>
      <c r="F15" s="3">
        <v>4</v>
      </c>
    </row>
    <row r="16" spans="1:6" x14ac:dyDescent="0.25">
      <c r="A16" s="2" t="s">
        <v>13</v>
      </c>
      <c r="B16" s="3">
        <v>24</v>
      </c>
      <c r="C16" s="3">
        <v>24</v>
      </c>
      <c r="D16" s="3">
        <v>4</v>
      </c>
      <c r="E16" s="3">
        <v>2</v>
      </c>
      <c r="F16" s="3">
        <v>14</v>
      </c>
    </row>
    <row r="17" spans="1:6" x14ac:dyDescent="0.25">
      <c r="A17" s="2" t="s">
        <v>479</v>
      </c>
      <c r="B17" s="3">
        <v>3</v>
      </c>
      <c r="C17" s="3">
        <v>2</v>
      </c>
      <c r="D17" s="3">
        <v>0</v>
      </c>
      <c r="E17" s="3">
        <v>0</v>
      </c>
      <c r="F17" s="3">
        <v>2</v>
      </c>
    </row>
    <row r="18" spans="1:6" x14ac:dyDescent="0.25">
      <c r="A18" s="2" t="s">
        <v>16</v>
      </c>
      <c r="B18" s="3">
        <v>27</v>
      </c>
      <c r="C18" s="3">
        <v>25</v>
      </c>
      <c r="D18" s="3">
        <v>0</v>
      </c>
      <c r="E18" s="3">
        <v>0</v>
      </c>
      <c r="F18" s="3">
        <v>17</v>
      </c>
    </row>
    <row r="19" spans="1:6" x14ac:dyDescent="0.25">
      <c r="A19" s="2" t="s">
        <v>108</v>
      </c>
      <c r="B19" s="3">
        <v>15</v>
      </c>
      <c r="C19" s="3">
        <v>15</v>
      </c>
      <c r="D19" s="3">
        <v>2</v>
      </c>
      <c r="E19" s="3">
        <v>0</v>
      </c>
      <c r="F19" s="3">
        <v>8</v>
      </c>
    </row>
    <row r="20" spans="1:6" x14ac:dyDescent="0.25">
      <c r="A20" s="2" t="s">
        <v>519</v>
      </c>
      <c r="B20" s="3">
        <v>1</v>
      </c>
      <c r="C20" s="3">
        <v>1</v>
      </c>
      <c r="D20" s="3">
        <v>0</v>
      </c>
      <c r="E20" s="3">
        <v>0</v>
      </c>
      <c r="F20" s="3">
        <v>0</v>
      </c>
    </row>
    <row r="21" spans="1:6" x14ac:dyDescent="0.25">
      <c r="A21" s="2" t="s">
        <v>521</v>
      </c>
      <c r="B21" s="3">
        <v>1</v>
      </c>
      <c r="C21" s="3">
        <v>1</v>
      </c>
      <c r="D21" s="3">
        <v>1</v>
      </c>
      <c r="E21" s="3">
        <v>0</v>
      </c>
      <c r="F21" s="3">
        <v>0</v>
      </c>
    </row>
    <row r="22" spans="1:6" x14ac:dyDescent="0.25">
      <c r="A22" s="2" t="s">
        <v>111</v>
      </c>
      <c r="B22" s="3">
        <v>10</v>
      </c>
      <c r="C22" s="3">
        <v>10</v>
      </c>
      <c r="D22" s="3">
        <v>2</v>
      </c>
      <c r="E22" s="3">
        <v>0</v>
      </c>
      <c r="F22" s="3">
        <v>5</v>
      </c>
    </row>
    <row r="23" spans="1:6" x14ac:dyDescent="0.25">
      <c r="A23" s="2" t="s">
        <v>18</v>
      </c>
      <c r="B23" s="3">
        <v>47</v>
      </c>
      <c r="C23" s="3">
        <v>47</v>
      </c>
      <c r="D23" s="3">
        <v>10</v>
      </c>
      <c r="E23" s="3">
        <v>2</v>
      </c>
      <c r="F23" s="3">
        <v>33</v>
      </c>
    </row>
    <row r="24" spans="1:6" x14ac:dyDescent="0.25">
      <c r="A24" s="2" t="s">
        <v>122</v>
      </c>
      <c r="B24" s="3">
        <v>12</v>
      </c>
      <c r="C24" s="3">
        <v>12</v>
      </c>
      <c r="D24" s="3">
        <v>3</v>
      </c>
      <c r="E24" s="3">
        <v>1</v>
      </c>
      <c r="F24" s="3">
        <v>4</v>
      </c>
    </row>
    <row r="25" spans="1:6" x14ac:dyDescent="0.25">
      <c r="A25" s="2" t="s">
        <v>21</v>
      </c>
      <c r="B25" s="3">
        <v>17</v>
      </c>
      <c r="C25" s="3">
        <v>17</v>
      </c>
      <c r="D25" s="3">
        <v>3</v>
      </c>
      <c r="E25" s="3">
        <v>1</v>
      </c>
      <c r="F25" s="3">
        <v>12</v>
      </c>
    </row>
    <row r="26" spans="1:6" x14ac:dyDescent="0.25">
      <c r="A26" s="2" t="s">
        <v>127</v>
      </c>
      <c r="B26" s="3">
        <v>11</v>
      </c>
      <c r="C26" s="3">
        <v>11</v>
      </c>
      <c r="D26" s="3">
        <v>3</v>
      </c>
      <c r="E26" s="3">
        <v>0</v>
      </c>
      <c r="F26" s="3">
        <v>7</v>
      </c>
    </row>
    <row r="27" spans="1:6" x14ac:dyDescent="0.25">
      <c r="A27" s="2" t="s">
        <v>597</v>
      </c>
      <c r="B27" s="3">
        <v>2</v>
      </c>
      <c r="C27" s="3">
        <v>2</v>
      </c>
      <c r="D27" s="3">
        <v>1</v>
      </c>
      <c r="E27" s="3">
        <v>0</v>
      </c>
      <c r="F27" s="3">
        <v>0</v>
      </c>
    </row>
    <row r="28" spans="1:6" x14ac:dyDescent="0.25">
      <c r="A28" s="2" t="s">
        <v>131</v>
      </c>
      <c r="B28" s="3">
        <v>2</v>
      </c>
      <c r="C28" s="3">
        <v>2</v>
      </c>
      <c r="D28" s="3">
        <v>0</v>
      </c>
      <c r="E28" s="3">
        <v>1</v>
      </c>
      <c r="F28" s="3">
        <v>1</v>
      </c>
    </row>
    <row r="29" spans="1:6" x14ac:dyDescent="0.25">
      <c r="A29" s="2" t="s">
        <v>133</v>
      </c>
      <c r="B29" s="3">
        <v>8</v>
      </c>
      <c r="C29" s="3">
        <v>8</v>
      </c>
      <c r="D29" s="3">
        <v>2</v>
      </c>
      <c r="E29" s="3">
        <v>0</v>
      </c>
      <c r="F29" s="3">
        <v>4</v>
      </c>
    </row>
    <row r="30" spans="1:6" x14ac:dyDescent="0.25">
      <c r="A30" s="2" t="s">
        <v>23</v>
      </c>
      <c r="B30" s="3">
        <v>7</v>
      </c>
      <c r="C30" s="3">
        <v>7</v>
      </c>
      <c r="D30" s="3">
        <v>3</v>
      </c>
      <c r="E30" s="3">
        <v>1</v>
      </c>
      <c r="F30" s="3">
        <v>5</v>
      </c>
    </row>
    <row r="31" spans="1:6" x14ac:dyDescent="0.25">
      <c r="A31" s="2" t="s">
        <v>612</v>
      </c>
      <c r="B31" s="3">
        <v>3</v>
      </c>
      <c r="C31" s="3">
        <v>3</v>
      </c>
      <c r="D31" s="3">
        <v>0</v>
      </c>
      <c r="E31" s="3">
        <v>0</v>
      </c>
      <c r="F31" s="3">
        <v>3</v>
      </c>
    </row>
    <row r="32" spans="1:6" x14ac:dyDescent="0.25">
      <c r="A32" s="2" t="s">
        <v>26</v>
      </c>
      <c r="B32" s="3">
        <v>52</v>
      </c>
      <c r="C32" s="3">
        <v>50</v>
      </c>
      <c r="D32" s="3">
        <v>3</v>
      </c>
      <c r="E32" s="3">
        <v>1</v>
      </c>
      <c r="F32" s="3">
        <v>41</v>
      </c>
    </row>
    <row r="33" spans="1:6" x14ac:dyDescent="0.25">
      <c r="A33" s="2" t="s">
        <v>139</v>
      </c>
      <c r="B33" s="3">
        <v>11</v>
      </c>
      <c r="C33" s="3">
        <v>11</v>
      </c>
      <c r="D33" s="3">
        <v>1</v>
      </c>
      <c r="E33" s="3">
        <v>0</v>
      </c>
      <c r="F33" s="3">
        <v>6</v>
      </c>
    </row>
    <row r="34" spans="1:6" x14ac:dyDescent="0.25">
      <c r="A34" s="2" t="s">
        <v>673</v>
      </c>
      <c r="B34" s="3">
        <v>8</v>
      </c>
      <c r="C34" s="3">
        <v>7</v>
      </c>
      <c r="D34" s="3">
        <v>0</v>
      </c>
      <c r="E34" s="3">
        <v>0</v>
      </c>
      <c r="F34" s="3">
        <v>7</v>
      </c>
    </row>
    <row r="35" spans="1:6" x14ac:dyDescent="0.25">
      <c r="A35" s="2" t="s">
        <v>681</v>
      </c>
      <c r="B35" s="3">
        <v>6</v>
      </c>
      <c r="C35" s="3">
        <v>6</v>
      </c>
      <c r="D35" s="3">
        <v>0</v>
      </c>
      <c r="E35" s="3">
        <v>0</v>
      </c>
      <c r="F35" s="3">
        <v>2</v>
      </c>
    </row>
    <row r="36" spans="1:6" x14ac:dyDescent="0.25">
      <c r="A36" s="2" t="s">
        <v>688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</row>
    <row r="37" spans="1:6" x14ac:dyDescent="0.25">
      <c r="A37" s="2" t="s">
        <v>690</v>
      </c>
      <c r="B37" s="3">
        <v>1</v>
      </c>
      <c r="C37" s="3">
        <v>1</v>
      </c>
      <c r="D37" s="3">
        <v>0</v>
      </c>
      <c r="E37" s="3">
        <v>0</v>
      </c>
      <c r="F37" s="3">
        <v>1</v>
      </c>
    </row>
    <row r="38" spans="1:6" x14ac:dyDescent="0.25">
      <c r="A38" s="2" t="s">
        <v>692</v>
      </c>
      <c r="B38" s="3">
        <v>10</v>
      </c>
      <c r="C38" s="3">
        <v>10</v>
      </c>
      <c r="D38" s="3">
        <v>1</v>
      </c>
      <c r="E38" s="3">
        <v>0</v>
      </c>
      <c r="F38" s="3">
        <v>4</v>
      </c>
    </row>
    <row r="39" spans="1:6" x14ac:dyDescent="0.25">
      <c r="A39" s="2" t="s">
        <v>702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</row>
    <row r="40" spans="1:6" x14ac:dyDescent="0.25">
      <c r="A40" s="2" t="s">
        <v>28</v>
      </c>
      <c r="B40" s="3">
        <v>14</v>
      </c>
      <c r="C40" s="3">
        <v>13</v>
      </c>
      <c r="D40" s="3">
        <v>1</v>
      </c>
      <c r="E40" s="3">
        <v>2</v>
      </c>
      <c r="F40" s="3">
        <v>10</v>
      </c>
    </row>
    <row r="41" spans="1:6" x14ac:dyDescent="0.25">
      <c r="A41" s="2" t="s">
        <v>715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</row>
    <row r="42" spans="1:6" x14ac:dyDescent="0.25">
      <c r="A42" s="2" t="s">
        <v>717</v>
      </c>
      <c r="B42" s="3">
        <v>2</v>
      </c>
      <c r="C42" s="3">
        <v>2</v>
      </c>
      <c r="D42" s="3">
        <v>0</v>
      </c>
      <c r="E42" s="3">
        <v>0</v>
      </c>
      <c r="F42" s="3">
        <v>1</v>
      </c>
    </row>
    <row r="43" spans="1:6" x14ac:dyDescent="0.25">
      <c r="A43" s="2" t="s">
        <v>31</v>
      </c>
      <c r="B43" s="3">
        <v>27</v>
      </c>
      <c r="C43" s="3">
        <v>26</v>
      </c>
      <c r="D43" s="3">
        <v>5</v>
      </c>
      <c r="E43" s="3">
        <v>1</v>
      </c>
      <c r="F43" s="3">
        <v>14</v>
      </c>
    </row>
    <row r="44" spans="1:6" x14ac:dyDescent="0.25">
      <c r="A44" s="2" t="s">
        <v>145</v>
      </c>
      <c r="B44" s="3">
        <v>4</v>
      </c>
      <c r="C44" s="3">
        <v>4</v>
      </c>
      <c r="D44" s="3">
        <v>2</v>
      </c>
      <c r="E44" s="3">
        <v>0</v>
      </c>
      <c r="F44" s="3">
        <v>1</v>
      </c>
    </row>
    <row r="45" spans="1:6" x14ac:dyDescent="0.25">
      <c r="A45" s="2" t="s">
        <v>742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</row>
    <row r="46" spans="1:6" x14ac:dyDescent="0.25">
      <c r="A46" s="2" t="s">
        <v>148</v>
      </c>
      <c r="B46" s="3">
        <v>47</v>
      </c>
      <c r="C46" s="3">
        <v>47</v>
      </c>
      <c r="D46" s="3">
        <v>19</v>
      </c>
      <c r="E46" s="3">
        <v>0</v>
      </c>
      <c r="F46" s="3">
        <v>26</v>
      </c>
    </row>
    <row r="47" spans="1:6" x14ac:dyDescent="0.25">
      <c r="A47" s="2" t="s">
        <v>775</v>
      </c>
      <c r="B47" s="3">
        <v>1</v>
      </c>
      <c r="C47" s="3">
        <v>1</v>
      </c>
      <c r="D47" s="3">
        <v>0</v>
      </c>
      <c r="E47" s="3">
        <v>0</v>
      </c>
      <c r="F47" s="3">
        <v>1</v>
      </c>
    </row>
    <row r="48" spans="1:6" x14ac:dyDescent="0.25">
      <c r="A48" s="2" t="s">
        <v>164</v>
      </c>
      <c r="B48" s="3">
        <v>5</v>
      </c>
      <c r="C48" s="3">
        <v>5</v>
      </c>
      <c r="D48" s="3">
        <v>1</v>
      </c>
      <c r="E48" s="3">
        <v>0</v>
      </c>
      <c r="F48" s="3">
        <v>3</v>
      </c>
    </row>
    <row r="49" spans="1:6" x14ac:dyDescent="0.25">
      <c r="A49" s="2" t="s">
        <v>166</v>
      </c>
      <c r="B49" s="3">
        <v>23</v>
      </c>
      <c r="C49" s="3">
        <v>23</v>
      </c>
      <c r="D49" s="3">
        <v>3</v>
      </c>
      <c r="E49" s="3">
        <v>0</v>
      </c>
      <c r="F49" s="3">
        <v>16</v>
      </c>
    </row>
    <row r="50" spans="1:6" x14ac:dyDescent="0.25">
      <c r="A50" s="2" t="s">
        <v>801</v>
      </c>
      <c r="B50" s="3">
        <v>2</v>
      </c>
      <c r="C50" s="3">
        <v>2</v>
      </c>
      <c r="D50" s="3">
        <v>1</v>
      </c>
      <c r="E50" s="3">
        <v>0</v>
      </c>
      <c r="F50" s="3">
        <v>1</v>
      </c>
    </row>
    <row r="51" spans="1:6" x14ac:dyDescent="0.25">
      <c r="A51" s="2" t="s">
        <v>804</v>
      </c>
      <c r="B51" s="3">
        <v>5</v>
      </c>
      <c r="C51" s="3">
        <v>5</v>
      </c>
      <c r="D51" s="3">
        <v>0</v>
      </c>
      <c r="E51" s="3">
        <v>0</v>
      </c>
      <c r="F51" s="3">
        <v>4</v>
      </c>
    </row>
    <row r="52" spans="1:6" x14ac:dyDescent="0.25">
      <c r="A52" s="2" t="s">
        <v>34</v>
      </c>
      <c r="B52" s="3">
        <v>2</v>
      </c>
      <c r="C52" s="3">
        <v>2</v>
      </c>
      <c r="D52" s="3">
        <v>1</v>
      </c>
      <c r="E52" s="3">
        <v>1</v>
      </c>
      <c r="F52" s="3">
        <v>2</v>
      </c>
    </row>
    <row r="53" spans="1:6" x14ac:dyDescent="0.25">
      <c r="A53" s="2" t="s">
        <v>36</v>
      </c>
      <c r="B53" s="3">
        <v>4</v>
      </c>
      <c r="C53" s="3">
        <v>3</v>
      </c>
      <c r="D53" s="3">
        <v>0</v>
      </c>
      <c r="E53" s="3">
        <v>1</v>
      </c>
      <c r="F53" s="3">
        <v>3</v>
      </c>
    </row>
    <row r="54" spans="1:6" x14ac:dyDescent="0.25">
      <c r="A54" s="2" t="s">
        <v>38</v>
      </c>
      <c r="B54" s="3">
        <v>18</v>
      </c>
      <c r="C54" s="3">
        <v>16</v>
      </c>
      <c r="D54" s="3">
        <v>1</v>
      </c>
      <c r="E54" s="3">
        <v>0</v>
      </c>
      <c r="F54" s="3">
        <v>9</v>
      </c>
    </row>
    <row r="55" spans="1:6" x14ac:dyDescent="0.25">
      <c r="A55" s="2" t="s">
        <v>170</v>
      </c>
      <c r="B55" s="3">
        <v>3</v>
      </c>
      <c r="C55" s="3">
        <v>3</v>
      </c>
      <c r="D55" s="3">
        <v>1</v>
      </c>
      <c r="E55" s="3">
        <v>0</v>
      </c>
      <c r="F55" s="3">
        <v>1</v>
      </c>
    </row>
    <row r="56" spans="1:6" x14ac:dyDescent="0.25">
      <c r="A56" s="2" t="s">
        <v>833</v>
      </c>
      <c r="B56" s="3">
        <v>3</v>
      </c>
      <c r="C56" s="3">
        <v>3</v>
      </c>
      <c r="D56" s="3">
        <v>0</v>
      </c>
      <c r="E56" s="3">
        <v>0</v>
      </c>
      <c r="F56" s="3">
        <v>1</v>
      </c>
    </row>
    <row r="57" spans="1:6" x14ac:dyDescent="0.25">
      <c r="A57" s="2" t="s">
        <v>172</v>
      </c>
      <c r="B57" s="3">
        <v>4</v>
      </c>
      <c r="C57" s="3">
        <v>4</v>
      </c>
      <c r="D57" s="3">
        <v>1</v>
      </c>
      <c r="E57" s="3">
        <v>0</v>
      </c>
      <c r="F57" s="3">
        <v>3</v>
      </c>
    </row>
    <row r="58" spans="1:6" x14ac:dyDescent="0.25">
      <c r="A58" s="2" t="s">
        <v>840</v>
      </c>
      <c r="B58" s="3">
        <v>1</v>
      </c>
      <c r="C58" s="3">
        <v>1</v>
      </c>
      <c r="D58" s="3">
        <v>0</v>
      </c>
      <c r="E58" s="3">
        <v>0</v>
      </c>
      <c r="F58" s="3">
        <v>1</v>
      </c>
    </row>
    <row r="59" spans="1:6" x14ac:dyDescent="0.25">
      <c r="A59" s="2" t="s">
        <v>174</v>
      </c>
      <c r="B59" s="3">
        <v>15</v>
      </c>
      <c r="C59" s="3">
        <v>15</v>
      </c>
      <c r="D59" s="3">
        <v>2</v>
      </c>
      <c r="E59" s="3">
        <v>0</v>
      </c>
      <c r="F59" s="3">
        <v>8</v>
      </c>
    </row>
    <row r="60" spans="1:6" x14ac:dyDescent="0.25">
      <c r="A60" s="2" t="s">
        <v>40</v>
      </c>
      <c r="B60" s="3">
        <v>6</v>
      </c>
      <c r="C60" s="3">
        <v>6</v>
      </c>
      <c r="D60" s="3">
        <v>2</v>
      </c>
      <c r="E60" s="3">
        <v>1</v>
      </c>
      <c r="F60" s="3">
        <v>5</v>
      </c>
    </row>
    <row r="61" spans="1:6" x14ac:dyDescent="0.25">
      <c r="A61" s="2" t="s">
        <v>858</v>
      </c>
      <c r="B61" s="3">
        <v>4</v>
      </c>
      <c r="C61" s="3">
        <v>3</v>
      </c>
      <c r="D61" s="3">
        <v>0</v>
      </c>
      <c r="E61" s="3">
        <v>0</v>
      </c>
      <c r="F61" s="3">
        <v>2</v>
      </c>
    </row>
    <row r="62" spans="1:6" x14ac:dyDescent="0.25">
      <c r="A62" s="2" t="s">
        <v>42</v>
      </c>
      <c r="B62" s="3">
        <v>38</v>
      </c>
      <c r="C62" s="3">
        <v>26</v>
      </c>
      <c r="D62" s="3">
        <v>1</v>
      </c>
      <c r="E62" s="3">
        <v>1</v>
      </c>
      <c r="F62" s="3">
        <v>19</v>
      </c>
    </row>
    <row r="63" spans="1:6" x14ac:dyDescent="0.25">
      <c r="A63" s="2" t="s">
        <v>183</v>
      </c>
      <c r="B63" s="3">
        <v>2</v>
      </c>
      <c r="C63" s="3">
        <v>2</v>
      </c>
      <c r="D63" s="3">
        <v>0</v>
      </c>
      <c r="E63" s="3">
        <v>0</v>
      </c>
      <c r="F63" s="3">
        <v>1</v>
      </c>
    </row>
    <row r="64" spans="1:6" x14ac:dyDescent="0.25">
      <c r="A64" s="2" t="s">
        <v>185</v>
      </c>
      <c r="B64" s="3">
        <v>18</v>
      </c>
      <c r="C64" s="3">
        <v>17</v>
      </c>
      <c r="D64" s="3">
        <v>2</v>
      </c>
      <c r="E64" s="3">
        <v>0</v>
      </c>
      <c r="F64" s="3">
        <v>14</v>
      </c>
    </row>
    <row r="65" spans="1:6" x14ac:dyDescent="0.25">
      <c r="A65" s="2" t="s">
        <v>906</v>
      </c>
      <c r="B65" s="3">
        <v>2</v>
      </c>
      <c r="C65" s="3">
        <v>2</v>
      </c>
      <c r="D65" s="3">
        <v>0</v>
      </c>
      <c r="E65" s="3">
        <v>0</v>
      </c>
      <c r="F65" s="3">
        <v>1</v>
      </c>
    </row>
    <row r="66" spans="1:6" x14ac:dyDescent="0.25">
      <c r="A66" s="2" t="s">
        <v>909</v>
      </c>
      <c r="B66" s="3">
        <v>7</v>
      </c>
      <c r="C66" s="3">
        <v>7</v>
      </c>
      <c r="D66" s="3">
        <v>0</v>
      </c>
      <c r="E66" s="3">
        <v>0</v>
      </c>
      <c r="F66" s="3">
        <v>6</v>
      </c>
    </row>
    <row r="67" spans="1:6" x14ac:dyDescent="0.25">
      <c r="A67" s="2" t="s">
        <v>189</v>
      </c>
      <c r="B67" s="3">
        <v>1</v>
      </c>
      <c r="C67" s="3">
        <v>1</v>
      </c>
      <c r="D67" s="3">
        <v>1</v>
      </c>
      <c r="E67" s="3">
        <v>0</v>
      </c>
      <c r="F67" s="3">
        <v>1</v>
      </c>
    </row>
    <row r="68" spans="1:6" x14ac:dyDescent="0.25">
      <c r="A68" s="2" t="s">
        <v>917</v>
      </c>
      <c r="B68" s="3">
        <v>1</v>
      </c>
      <c r="C68" s="3">
        <v>1</v>
      </c>
      <c r="D68" s="3">
        <v>0</v>
      </c>
      <c r="E68" s="3">
        <v>0</v>
      </c>
      <c r="F68" s="3">
        <v>1</v>
      </c>
    </row>
    <row r="69" spans="1:6" x14ac:dyDescent="0.25">
      <c r="A69" s="2" t="s">
        <v>919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</row>
    <row r="70" spans="1:6" x14ac:dyDescent="0.25">
      <c r="A70" s="2" t="s">
        <v>191</v>
      </c>
      <c r="B70" s="3">
        <v>7</v>
      </c>
      <c r="C70" s="3">
        <v>7</v>
      </c>
      <c r="D70" s="3">
        <v>2</v>
      </c>
      <c r="E70" s="3">
        <v>0</v>
      </c>
      <c r="F70" s="3">
        <v>3</v>
      </c>
    </row>
    <row r="71" spans="1:6" x14ac:dyDescent="0.25">
      <c r="A71" s="2" t="s">
        <v>925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</row>
    <row r="72" spans="1:6" x14ac:dyDescent="0.25">
      <c r="A72" s="2" t="s">
        <v>927</v>
      </c>
      <c r="B72" s="3">
        <v>4</v>
      </c>
      <c r="C72" s="3">
        <v>4</v>
      </c>
      <c r="D72" s="3">
        <v>0</v>
      </c>
      <c r="E72" s="3">
        <v>0</v>
      </c>
      <c r="F72" s="3">
        <v>2</v>
      </c>
    </row>
    <row r="73" spans="1:6" x14ac:dyDescent="0.25">
      <c r="A73" s="2" t="s">
        <v>194</v>
      </c>
      <c r="B73" s="3">
        <v>12</v>
      </c>
      <c r="C73" s="3">
        <v>11</v>
      </c>
      <c r="D73" s="3">
        <v>2</v>
      </c>
      <c r="E73" s="3">
        <v>1</v>
      </c>
      <c r="F73" s="3">
        <v>7</v>
      </c>
    </row>
    <row r="74" spans="1:6" x14ac:dyDescent="0.25">
      <c r="A74" s="2" t="s">
        <v>940</v>
      </c>
      <c r="B74" s="3">
        <v>4</v>
      </c>
      <c r="C74" s="3">
        <v>4</v>
      </c>
      <c r="D74" s="3">
        <v>0</v>
      </c>
      <c r="E74" s="3">
        <v>0</v>
      </c>
      <c r="F74" s="3">
        <v>4</v>
      </c>
    </row>
    <row r="75" spans="1:6" x14ac:dyDescent="0.25">
      <c r="A75" s="2" t="s">
        <v>197</v>
      </c>
      <c r="B75" s="3">
        <v>6</v>
      </c>
      <c r="C75" s="3">
        <v>6</v>
      </c>
      <c r="D75" s="3">
        <v>2</v>
      </c>
      <c r="E75" s="3">
        <v>0</v>
      </c>
      <c r="F75" s="3">
        <v>4</v>
      </c>
    </row>
    <row r="76" spans="1:6" x14ac:dyDescent="0.25">
      <c r="A76" s="2" t="s">
        <v>199</v>
      </c>
      <c r="B76" s="3">
        <v>9</v>
      </c>
      <c r="C76" s="3">
        <v>8</v>
      </c>
      <c r="D76" s="3">
        <v>0</v>
      </c>
      <c r="E76" s="3">
        <v>1</v>
      </c>
      <c r="F76" s="3">
        <v>8</v>
      </c>
    </row>
    <row r="77" spans="1:6" x14ac:dyDescent="0.25">
      <c r="A77" s="2" t="s">
        <v>201</v>
      </c>
      <c r="B77" s="3">
        <v>4</v>
      </c>
      <c r="C77" s="3">
        <v>3</v>
      </c>
      <c r="D77" s="3">
        <v>1</v>
      </c>
      <c r="E77" s="3">
        <v>0</v>
      </c>
      <c r="F77" s="3">
        <v>1</v>
      </c>
    </row>
    <row r="78" spans="1:6" x14ac:dyDescent="0.25">
      <c r="A78" s="2" t="s">
        <v>203</v>
      </c>
      <c r="B78" s="3">
        <v>10</v>
      </c>
      <c r="C78" s="3">
        <v>10</v>
      </c>
      <c r="D78" s="3">
        <v>0</v>
      </c>
      <c r="E78" s="3">
        <v>1</v>
      </c>
      <c r="F78" s="3">
        <v>8</v>
      </c>
    </row>
    <row r="79" spans="1:6" x14ac:dyDescent="0.25">
      <c r="A79" s="2" t="s">
        <v>966</v>
      </c>
      <c r="B79" s="3">
        <v>10</v>
      </c>
      <c r="C79" s="3">
        <v>10</v>
      </c>
      <c r="D79" s="3">
        <v>0</v>
      </c>
      <c r="E79" s="3">
        <v>0</v>
      </c>
      <c r="F79" s="3">
        <v>4</v>
      </c>
    </row>
    <row r="80" spans="1:6" x14ac:dyDescent="0.25">
      <c r="A80" s="2" t="s">
        <v>44</v>
      </c>
      <c r="B80" s="3">
        <v>19</v>
      </c>
      <c r="C80" s="3">
        <v>19</v>
      </c>
      <c r="D80" s="3">
        <v>9</v>
      </c>
      <c r="E80" s="3">
        <v>1</v>
      </c>
      <c r="F80" s="3">
        <v>12</v>
      </c>
    </row>
    <row r="81" spans="1:6" x14ac:dyDescent="0.25">
      <c r="A81" s="2" t="s">
        <v>987</v>
      </c>
      <c r="B81" s="3">
        <v>5</v>
      </c>
      <c r="C81" s="3">
        <v>5</v>
      </c>
      <c r="D81" s="3">
        <v>0</v>
      </c>
      <c r="E81" s="3">
        <v>0</v>
      </c>
      <c r="F81" s="3">
        <v>2</v>
      </c>
    </row>
    <row r="82" spans="1:6" x14ac:dyDescent="0.25">
      <c r="A82" s="2" t="s">
        <v>213</v>
      </c>
      <c r="B82" s="3">
        <v>4</v>
      </c>
      <c r="C82" s="3">
        <v>4</v>
      </c>
      <c r="D82" s="3">
        <v>1</v>
      </c>
      <c r="E82" s="3">
        <v>0</v>
      </c>
      <c r="F82" s="3">
        <v>4</v>
      </c>
    </row>
    <row r="83" spans="1:6" x14ac:dyDescent="0.25">
      <c r="A83" s="2" t="s">
        <v>215</v>
      </c>
      <c r="B83" s="3">
        <v>7</v>
      </c>
      <c r="C83" s="3">
        <v>7</v>
      </c>
      <c r="D83" s="3">
        <v>2</v>
      </c>
      <c r="E83" s="3">
        <v>0</v>
      </c>
      <c r="F83" s="3">
        <v>4</v>
      </c>
    </row>
    <row r="84" spans="1:6" x14ac:dyDescent="0.25">
      <c r="A84" s="2" t="s">
        <v>218</v>
      </c>
      <c r="B84" s="3">
        <v>7</v>
      </c>
      <c r="C84" s="3">
        <v>7</v>
      </c>
      <c r="D84" s="3">
        <v>1</v>
      </c>
      <c r="E84" s="3">
        <v>0</v>
      </c>
      <c r="F84" s="3">
        <v>3</v>
      </c>
    </row>
    <row r="85" spans="1:6" x14ac:dyDescent="0.25">
      <c r="A85" s="2" t="s">
        <v>1007</v>
      </c>
      <c r="B85" s="3">
        <v>1</v>
      </c>
      <c r="C85" s="3">
        <v>1</v>
      </c>
      <c r="D85" s="3">
        <v>0</v>
      </c>
      <c r="E85" s="3">
        <v>0</v>
      </c>
      <c r="F85" s="3">
        <v>1</v>
      </c>
    </row>
    <row r="86" spans="1:6" x14ac:dyDescent="0.25">
      <c r="A86" s="2" t="s">
        <v>220</v>
      </c>
      <c r="B86" s="3">
        <v>47</v>
      </c>
      <c r="C86" s="3">
        <v>46</v>
      </c>
      <c r="D86" s="3">
        <v>4</v>
      </c>
      <c r="E86" s="3">
        <v>0</v>
      </c>
      <c r="F86" s="3">
        <v>24</v>
      </c>
    </row>
    <row r="87" spans="1:6" x14ac:dyDescent="0.25">
      <c r="A87" s="2" t="s">
        <v>1050</v>
      </c>
      <c r="B87" s="3">
        <v>1</v>
      </c>
      <c r="C87" s="3">
        <v>1</v>
      </c>
      <c r="D87" s="3">
        <v>0</v>
      </c>
      <c r="E87" s="3">
        <v>0</v>
      </c>
      <c r="F87" s="3">
        <v>1</v>
      </c>
    </row>
    <row r="88" spans="1:6" x14ac:dyDescent="0.25">
      <c r="A88" s="2" t="s">
        <v>1052</v>
      </c>
      <c r="B88" s="3">
        <v>3</v>
      </c>
      <c r="C88" s="3">
        <v>3</v>
      </c>
      <c r="D88" s="3">
        <v>0</v>
      </c>
      <c r="E88" s="3">
        <v>0</v>
      </c>
      <c r="F88" s="3">
        <v>3</v>
      </c>
    </row>
    <row r="89" spans="1:6" x14ac:dyDescent="0.25">
      <c r="A89" s="2" t="s">
        <v>224</v>
      </c>
      <c r="B89" s="3">
        <v>15</v>
      </c>
      <c r="C89" s="3">
        <v>15</v>
      </c>
      <c r="D89" s="3">
        <v>2</v>
      </c>
      <c r="E89" s="3">
        <v>0</v>
      </c>
      <c r="F89" s="3">
        <v>9</v>
      </c>
    </row>
    <row r="90" spans="1:6" x14ac:dyDescent="0.25">
      <c r="A90" s="2" t="s">
        <v>46</v>
      </c>
      <c r="B90" s="3">
        <v>24</v>
      </c>
      <c r="C90" s="3">
        <v>23</v>
      </c>
      <c r="D90" s="3">
        <v>3</v>
      </c>
      <c r="E90" s="3">
        <v>3</v>
      </c>
      <c r="F90" s="3">
        <v>18</v>
      </c>
    </row>
    <row r="91" spans="1:6" x14ac:dyDescent="0.25">
      <c r="A91" s="2" t="s">
        <v>231</v>
      </c>
      <c r="B91" s="3">
        <v>9</v>
      </c>
      <c r="C91" s="3">
        <v>9</v>
      </c>
      <c r="D91" s="3">
        <v>0</v>
      </c>
      <c r="E91" s="3">
        <v>0</v>
      </c>
      <c r="F91" s="3">
        <v>6</v>
      </c>
    </row>
    <row r="92" spans="1:6" x14ac:dyDescent="0.25">
      <c r="A92" s="2" t="s">
        <v>233</v>
      </c>
      <c r="B92" s="3">
        <v>17</v>
      </c>
      <c r="C92" s="3">
        <v>17</v>
      </c>
      <c r="D92" s="3">
        <v>3</v>
      </c>
      <c r="E92" s="3">
        <v>0</v>
      </c>
      <c r="F92" s="3">
        <v>10</v>
      </c>
    </row>
    <row r="93" spans="1:6" x14ac:dyDescent="0.25">
      <c r="A93" s="2" t="s">
        <v>1107</v>
      </c>
      <c r="B93" s="3">
        <v>1</v>
      </c>
      <c r="C93" s="3">
        <v>1</v>
      </c>
      <c r="D93" s="3">
        <v>0</v>
      </c>
      <c r="E93" s="3">
        <v>0</v>
      </c>
      <c r="F93" s="3">
        <v>1</v>
      </c>
    </row>
    <row r="94" spans="1:6" x14ac:dyDescent="0.25">
      <c r="A94" s="2" t="s">
        <v>237</v>
      </c>
      <c r="B94" s="3">
        <v>28</v>
      </c>
      <c r="C94" s="3">
        <v>27</v>
      </c>
      <c r="D94" s="3">
        <v>2</v>
      </c>
      <c r="E94" s="3">
        <v>0</v>
      </c>
      <c r="F94" s="3">
        <v>15</v>
      </c>
    </row>
    <row r="95" spans="1:6" x14ac:dyDescent="0.25">
      <c r="A95" s="2" t="s">
        <v>1135</v>
      </c>
      <c r="B95" s="3">
        <v>1</v>
      </c>
      <c r="C95" s="3">
        <v>1</v>
      </c>
      <c r="D95" s="3">
        <v>0</v>
      </c>
      <c r="E95" s="3">
        <v>0</v>
      </c>
      <c r="F95" s="3">
        <v>1</v>
      </c>
    </row>
    <row r="96" spans="1:6" x14ac:dyDescent="0.25">
      <c r="A96" s="2" t="s">
        <v>240</v>
      </c>
      <c r="B96" s="3">
        <v>4</v>
      </c>
      <c r="C96" s="3">
        <v>4</v>
      </c>
      <c r="D96" s="3">
        <v>1</v>
      </c>
      <c r="E96" s="3">
        <v>0</v>
      </c>
      <c r="F96" s="3">
        <v>2</v>
      </c>
    </row>
    <row r="97" spans="1:6" x14ac:dyDescent="0.25">
      <c r="A97" s="2" t="s">
        <v>1763</v>
      </c>
      <c r="B97" s="3">
        <v>1</v>
      </c>
      <c r="C97" s="3">
        <v>1</v>
      </c>
      <c r="D97" s="3">
        <v>0</v>
      </c>
      <c r="E97" s="3">
        <v>0</v>
      </c>
      <c r="F97" s="3">
        <v>0</v>
      </c>
    </row>
    <row r="98" spans="1:6" x14ac:dyDescent="0.25">
      <c r="A98" s="2" t="s">
        <v>1140</v>
      </c>
      <c r="B98" s="3">
        <v>1</v>
      </c>
      <c r="C98" s="3">
        <v>1</v>
      </c>
      <c r="D98" s="3">
        <v>0</v>
      </c>
      <c r="E98" s="3">
        <v>0</v>
      </c>
      <c r="F98" s="3">
        <v>1</v>
      </c>
    </row>
    <row r="99" spans="1:6" x14ac:dyDescent="0.25">
      <c r="A99" s="2" t="s">
        <v>242</v>
      </c>
      <c r="B99" s="3">
        <v>11</v>
      </c>
      <c r="C99" s="3">
        <v>11</v>
      </c>
      <c r="D99" s="3">
        <v>2</v>
      </c>
      <c r="E99" s="3">
        <v>0</v>
      </c>
      <c r="F99" s="3">
        <v>7</v>
      </c>
    </row>
    <row r="100" spans="1:6" x14ac:dyDescent="0.25">
      <c r="A100" s="2" t="s">
        <v>1152</v>
      </c>
      <c r="B100" s="3">
        <v>4</v>
      </c>
      <c r="C100" s="3">
        <v>4</v>
      </c>
      <c r="D100" s="3">
        <v>0</v>
      </c>
      <c r="E100" s="3">
        <v>0</v>
      </c>
      <c r="F100" s="3">
        <v>2</v>
      </c>
    </row>
    <row r="101" spans="1:6" x14ac:dyDescent="0.25">
      <c r="A101" s="2" t="s">
        <v>1157</v>
      </c>
      <c r="B101" s="3">
        <v>2</v>
      </c>
      <c r="C101" s="3">
        <v>2</v>
      </c>
      <c r="D101" s="3">
        <v>0</v>
      </c>
      <c r="E101" s="3">
        <v>0</v>
      </c>
      <c r="F101" s="3">
        <v>1</v>
      </c>
    </row>
    <row r="102" spans="1:6" x14ac:dyDescent="0.25">
      <c r="A102" s="2" t="s">
        <v>1160</v>
      </c>
      <c r="B102" s="3">
        <v>7</v>
      </c>
      <c r="C102" s="3">
        <v>7</v>
      </c>
      <c r="D102" s="3">
        <v>0</v>
      </c>
      <c r="E102" s="3">
        <v>0</v>
      </c>
      <c r="F102" s="3">
        <v>4</v>
      </c>
    </row>
    <row r="103" spans="1:6" x14ac:dyDescent="0.25">
      <c r="A103" s="2" t="s">
        <v>48</v>
      </c>
      <c r="B103" s="3">
        <v>3</v>
      </c>
      <c r="C103" s="3">
        <v>3</v>
      </c>
      <c r="D103" s="3">
        <v>1</v>
      </c>
      <c r="E103" s="3">
        <v>1</v>
      </c>
      <c r="F103" s="3">
        <v>1</v>
      </c>
    </row>
    <row r="104" spans="1:6" x14ac:dyDescent="0.25">
      <c r="A104" s="2" t="s">
        <v>1170</v>
      </c>
      <c r="B104" s="3">
        <v>3</v>
      </c>
      <c r="C104" s="3">
        <v>3</v>
      </c>
      <c r="D104" s="3">
        <v>0</v>
      </c>
      <c r="E104" s="3">
        <v>0</v>
      </c>
      <c r="F104" s="3">
        <v>2</v>
      </c>
    </row>
    <row r="105" spans="1:6" x14ac:dyDescent="0.25">
      <c r="A105" s="2" t="s">
        <v>244</v>
      </c>
      <c r="B105" s="3">
        <v>4</v>
      </c>
      <c r="C105" s="3">
        <v>3</v>
      </c>
      <c r="D105" s="3">
        <v>1</v>
      </c>
      <c r="E105" s="3">
        <v>0</v>
      </c>
      <c r="F105" s="3">
        <v>2</v>
      </c>
    </row>
    <row r="106" spans="1:6" x14ac:dyDescent="0.25">
      <c r="A106" s="2" t="s">
        <v>1177</v>
      </c>
      <c r="B106" s="3">
        <v>1</v>
      </c>
      <c r="C106" s="3">
        <v>0</v>
      </c>
      <c r="D106" s="3">
        <v>0</v>
      </c>
      <c r="E106" s="3">
        <v>0</v>
      </c>
      <c r="F106" s="3">
        <v>1</v>
      </c>
    </row>
    <row r="107" spans="1:6" x14ac:dyDescent="0.25">
      <c r="A107" s="2" t="s">
        <v>246</v>
      </c>
      <c r="B107" s="3">
        <v>17</v>
      </c>
      <c r="C107" s="3">
        <v>16</v>
      </c>
      <c r="D107" s="3">
        <v>3</v>
      </c>
      <c r="E107" s="3">
        <v>1</v>
      </c>
      <c r="F107" s="3">
        <v>12</v>
      </c>
    </row>
    <row r="108" spans="1:6" x14ac:dyDescent="0.25">
      <c r="A108" s="2" t="s">
        <v>1190</v>
      </c>
      <c r="B108" s="3">
        <v>4</v>
      </c>
      <c r="C108" s="3">
        <v>4</v>
      </c>
      <c r="D108" s="3">
        <v>0</v>
      </c>
      <c r="E108" s="3">
        <v>0</v>
      </c>
      <c r="F108" s="3">
        <v>3</v>
      </c>
    </row>
    <row r="109" spans="1:6" x14ac:dyDescent="0.25">
      <c r="A109" s="2" t="s">
        <v>252</v>
      </c>
      <c r="B109" s="3">
        <v>7</v>
      </c>
      <c r="C109" s="3">
        <v>7</v>
      </c>
      <c r="D109" s="3">
        <v>1</v>
      </c>
      <c r="E109" s="3">
        <v>0</v>
      </c>
      <c r="F109" s="3">
        <v>4</v>
      </c>
    </row>
    <row r="110" spans="1:6" x14ac:dyDescent="0.25">
      <c r="A110" s="2" t="s">
        <v>254</v>
      </c>
      <c r="B110" s="3">
        <v>6</v>
      </c>
      <c r="C110" s="3">
        <v>6</v>
      </c>
      <c r="D110" s="3">
        <v>1</v>
      </c>
      <c r="E110" s="3">
        <v>0</v>
      </c>
      <c r="F110" s="3">
        <v>5</v>
      </c>
    </row>
    <row r="111" spans="1:6" x14ac:dyDescent="0.25">
      <c r="A111" s="2" t="s">
        <v>50</v>
      </c>
      <c r="B111" s="3">
        <v>5</v>
      </c>
      <c r="C111" s="3">
        <v>5</v>
      </c>
      <c r="D111" s="3">
        <v>1</v>
      </c>
      <c r="E111" s="3">
        <v>1</v>
      </c>
      <c r="F111" s="3">
        <v>1</v>
      </c>
    </row>
    <row r="112" spans="1:6" x14ac:dyDescent="0.25">
      <c r="A112" s="2" t="s">
        <v>256</v>
      </c>
      <c r="B112" s="3">
        <v>9</v>
      </c>
      <c r="C112" s="3">
        <v>9</v>
      </c>
      <c r="D112" s="3">
        <v>3</v>
      </c>
      <c r="E112" s="3">
        <v>0</v>
      </c>
      <c r="F112" s="3">
        <v>6</v>
      </c>
    </row>
    <row r="113" spans="1:6" x14ac:dyDescent="0.25">
      <c r="A113" s="2" t="s">
        <v>1213</v>
      </c>
      <c r="B113" s="3">
        <v>5</v>
      </c>
      <c r="C113" s="3">
        <v>5</v>
      </c>
      <c r="D113" s="3">
        <v>0</v>
      </c>
      <c r="E113" s="3">
        <v>0</v>
      </c>
      <c r="F113" s="3">
        <v>1</v>
      </c>
    </row>
    <row r="114" spans="1:6" x14ac:dyDescent="0.25">
      <c r="A114" s="2" t="s">
        <v>260</v>
      </c>
      <c r="B114" s="3">
        <v>1</v>
      </c>
      <c r="C114" s="3">
        <v>1</v>
      </c>
      <c r="D114" s="3">
        <v>0</v>
      </c>
      <c r="E114" s="3">
        <v>1</v>
      </c>
      <c r="F114" s="3">
        <v>0</v>
      </c>
    </row>
    <row r="115" spans="1:6" x14ac:dyDescent="0.25">
      <c r="A115" s="2" t="s">
        <v>262</v>
      </c>
      <c r="B115" s="3">
        <v>4</v>
      </c>
      <c r="C115" s="3">
        <v>4</v>
      </c>
      <c r="D115" s="3">
        <v>0</v>
      </c>
      <c r="E115" s="3">
        <v>0</v>
      </c>
      <c r="F115" s="3">
        <v>2</v>
      </c>
    </row>
    <row r="116" spans="1:6" x14ac:dyDescent="0.25">
      <c r="A116" s="2" t="s">
        <v>1220</v>
      </c>
      <c r="B116" s="3">
        <v>8</v>
      </c>
      <c r="C116" s="3">
        <v>7</v>
      </c>
      <c r="D116" s="3">
        <v>0</v>
      </c>
      <c r="E116" s="3">
        <v>0</v>
      </c>
      <c r="F116" s="3">
        <v>5</v>
      </c>
    </row>
    <row r="117" spans="1:6" x14ac:dyDescent="0.25">
      <c r="A117" s="2" t="s">
        <v>1229</v>
      </c>
      <c r="B117" s="3">
        <v>1</v>
      </c>
      <c r="C117" s="3">
        <v>1</v>
      </c>
      <c r="D117" s="3">
        <v>0</v>
      </c>
      <c r="E117" s="3">
        <v>0</v>
      </c>
      <c r="F117" s="3">
        <v>0</v>
      </c>
    </row>
    <row r="118" spans="1:6" x14ac:dyDescent="0.25">
      <c r="A118" s="2" t="s">
        <v>264</v>
      </c>
      <c r="B118" s="3">
        <v>5</v>
      </c>
      <c r="C118" s="3">
        <v>5</v>
      </c>
      <c r="D118" s="3">
        <v>2</v>
      </c>
      <c r="E118" s="3">
        <v>0</v>
      </c>
      <c r="F118" s="3">
        <v>2</v>
      </c>
    </row>
    <row r="119" spans="1:6" x14ac:dyDescent="0.25">
      <c r="A119" s="2" t="s">
        <v>1235</v>
      </c>
      <c r="B119" s="3">
        <v>3</v>
      </c>
      <c r="C119" s="3">
        <v>3</v>
      </c>
      <c r="D119" s="3">
        <v>0</v>
      </c>
      <c r="E119" s="3">
        <v>0</v>
      </c>
      <c r="F119" s="3">
        <v>3</v>
      </c>
    </row>
    <row r="120" spans="1:6" x14ac:dyDescent="0.25">
      <c r="A120" s="2" t="s">
        <v>1239</v>
      </c>
      <c r="B120" s="3">
        <v>2</v>
      </c>
      <c r="C120" s="3">
        <v>2</v>
      </c>
      <c r="D120" s="3">
        <v>0</v>
      </c>
      <c r="E120" s="3">
        <v>0</v>
      </c>
      <c r="F120" s="3">
        <v>1</v>
      </c>
    </row>
    <row r="121" spans="1:6" x14ac:dyDescent="0.25">
      <c r="A121" s="2" t="s">
        <v>1242</v>
      </c>
      <c r="B121" s="3">
        <v>6</v>
      </c>
      <c r="C121" s="3">
        <v>5</v>
      </c>
      <c r="D121" s="3">
        <v>0</v>
      </c>
      <c r="E121" s="3">
        <v>0</v>
      </c>
      <c r="F121" s="3">
        <v>4</v>
      </c>
    </row>
    <row r="122" spans="1:6" x14ac:dyDescent="0.25">
      <c r="A122" s="2" t="s">
        <v>266</v>
      </c>
      <c r="B122" s="3">
        <v>1</v>
      </c>
      <c r="C122" s="3">
        <v>1</v>
      </c>
      <c r="D122" s="3">
        <v>1</v>
      </c>
      <c r="E122" s="3">
        <v>0</v>
      </c>
      <c r="F122" s="3">
        <v>0</v>
      </c>
    </row>
    <row r="123" spans="1:6" x14ac:dyDescent="0.25">
      <c r="A123" s="2" t="s">
        <v>1249</v>
      </c>
      <c r="B123" s="3">
        <v>1</v>
      </c>
      <c r="C123" s="3">
        <v>1</v>
      </c>
      <c r="D123" s="3">
        <v>0</v>
      </c>
      <c r="E123" s="3">
        <v>0</v>
      </c>
      <c r="F123" s="3">
        <v>1</v>
      </c>
    </row>
    <row r="124" spans="1:6" x14ac:dyDescent="0.25">
      <c r="A124" s="2" t="s">
        <v>1251</v>
      </c>
      <c r="B124" s="3">
        <v>2</v>
      </c>
      <c r="C124" s="3">
        <v>2</v>
      </c>
      <c r="D124" s="3">
        <v>0</v>
      </c>
      <c r="E124" s="3">
        <v>0</v>
      </c>
      <c r="F124" s="3">
        <v>2</v>
      </c>
    </row>
    <row r="125" spans="1:6" x14ac:dyDescent="0.25">
      <c r="A125" s="2" t="s">
        <v>1254</v>
      </c>
      <c r="B125" s="3">
        <v>2</v>
      </c>
      <c r="C125" s="3">
        <v>2</v>
      </c>
      <c r="D125" s="3">
        <v>0</v>
      </c>
      <c r="E125" s="3">
        <v>0</v>
      </c>
      <c r="F125" s="3">
        <v>2</v>
      </c>
    </row>
    <row r="126" spans="1:6" x14ac:dyDescent="0.25">
      <c r="A126" s="2" t="s">
        <v>1257</v>
      </c>
      <c r="B126" s="3">
        <v>1</v>
      </c>
      <c r="C126" s="3">
        <v>1</v>
      </c>
      <c r="D126" s="3">
        <v>0</v>
      </c>
      <c r="E126" s="3">
        <v>0</v>
      </c>
      <c r="F126" s="3">
        <v>0</v>
      </c>
    </row>
    <row r="127" spans="1:6" x14ac:dyDescent="0.25">
      <c r="A127" s="2" t="s">
        <v>1259</v>
      </c>
      <c r="B127" s="3">
        <v>1</v>
      </c>
      <c r="C127" s="3">
        <v>1</v>
      </c>
      <c r="D127" s="3">
        <v>0</v>
      </c>
      <c r="E127" s="3">
        <v>0</v>
      </c>
      <c r="F127" s="3">
        <v>1</v>
      </c>
    </row>
    <row r="128" spans="1:6" x14ac:dyDescent="0.25">
      <c r="A128" s="2" t="s">
        <v>1261</v>
      </c>
      <c r="B128" s="3">
        <v>2</v>
      </c>
      <c r="C128" s="3">
        <v>2</v>
      </c>
      <c r="D128" s="3">
        <v>0</v>
      </c>
      <c r="E128" s="3">
        <v>0</v>
      </c>
      <c r="F128" s="3">
        <v>2</v>
      </c>
    </row>
    <row r="129" spans="1:6" x14ac:dyDescent="0.25">
      <c r="A129" s="2" t="s">
        <v>1264</v>
      </c>
      <c r="B129" s="3">
        <v>1</v>
      </c>
      <c r="C129" s="3">
        <v>1</v>
      </c>
      <c r="D129" s="3">
        <v>0</v>
      </c>
      <c r="E129" s="3">
        <v>0</v>
      </c>
      <c r="F129" s="3">
        <v>1</v>
      </c>
    </row>
    <row r="130" spans="1:6" x14ac:dyDescent="0.25">
      <c r="A130" s="2" t="s">
        <v>268</v>
      </c>
      <c r="B130" s="3">
        <v>1</v>
      </c>
      <c r="C130" s="3">
        <v>1</v>
      </c>
      <c r="D130" s="3">
        <v>1</v>
      </c>
      <c r="E130" s="3">
        <v>0</v>
      </c>
      <c r="F130" s="3">
        <v>0</v>
      </c>
    </row>
    <row r="131" spans="1:6" x14ac:dyDescent="0.25">
      <c r="A131" s="2" t="s">
        <v>52</v>
      </c>
      <c r="B131" s="3">
        <v>2</v>
      </c>
      <c r="C131" s="3">
        <v>1</v>
      </c>
      <c r="D131" s="3">
        <v>0</v>
      </c>
      <c r="E131" s="3">
        <v>1</v>
      </c>
      <c r="F131" s="3">
        <v>2</v>
      </c>
    </row>
    <row r="132" spans="1:6" x14ac:dyDescent="0.25">
      <c r="A132" s="2" t="s">
        <v>270</v>
      </c>
      <c r="B132" s="3">
        <v>7</v>
      </c>
      <c r="C132" s="3">
        <v>7</v>
      </c>
      <c r="D132" s="3">
        <v>1</v>
      </c>
      <c r="E132" s="3">
        <v>0</v>
      </c>
      <c r="F132" s="3">
        <v>2</v>
      </c>
    </row>
    <row r="133" spans="1:6" x14ac:dyDescent="0.25">
      <c r="A133" s="2" t="s">
        <v>1273</v>
      </c>
      <c r="B133" s="3">
        <v>1</v>
      </c>
      <c r="C133" s="3">
        <v>1</v>
      </c>
      <c r="D133" s="3">
        <v>0</v>
      </c>
      <c r="E133" s="3">
        <v>0</v>
      </c>
      <c r="F133" s="3">
        <v>1</v>
      </c>
    </row>
    <row r="134" spans="1:6" x14ac:dyDescent="0.25">
      <c r="A134" s="2" t="s">
        <v>1275</v>
      </c>
      <c r="B134" s="3">
        <v>4</v>
      </c>
      <c r="C134" s="3">
        <v>3</v>
      </c>
      <c r="D134" s="3">
        <v>0</v>
      </c>
      <c r="E134" s="3">
        <v>0</v>
      </c>
      <c r="F134" s="3">
        <v>1</v>
      </c>
    </row>
    <row r="135" spans="1:6" x14ac:dyDescent="0.25">
      <c r="A135" s="2" t="s">
        <v>1278</v>
      </c>
      <c r="B135" s="3">
        <v>2</v>
      </c>
      <c r="C135" s="3">
        <v>2</v>
      </c>
      <c r="D135" s="3">
        <v>0</v>
      </c>
      <c r="E135" s="3">
        <v>0</v>
      </c>
      <c r="F135" s="3">
        <v>1</v>
      </c>
    </row>
    <row r="136" spans="1:6" x14ac:dyDescent="0.25">
      <c r="A136" s="2" t="s">
        <v>54</v>
      </c>
      <c r="B136" s="3">
        <v>22</v>
      </c>
      <c r="C136" s="3">
        <v>22</v>
      </c>
      <c r="D136" s="3">
        <v>5</v>
      </c>
      <c r="E136" s="3">
        <v>1</v>
      </c>
      <c r="F136" s="3">
        <v>12</v>
      </c>
    </row>
    <row r="137" spans="1:6" x14ac:dyDescent="0.25">
      <c r="A137" s="2" t="s">
        <v>56</v>
      </c>
      <c r="B137" s="3">
        <v>3</v>
      </c>
      <c r="C137" s="3">
        <v>3</v>
      </c>
      <c r="D137" s="3">
        <v>1</v>
      </c>
      <c r="E137" s="3">
        <v>1</v>
      </c>
      <c r="F137" s="3">
        <v>3</v>
      </c>
    </row>
    <row r="138" spans="1:6" x14ac:dyDescent="0.25">
      <c r="A138" s="2" t="s">
        <v>276</v>
      </c>
      <c r="B138" s="3">
        <v>5</v>
      </c>
      <c r="C138" s="3">
        <v>5</v>
      </c>
      <c r="D138" s="3">
        <v>1</v>
      </c>
      <c r="E138" s="3">
        <v>0</v>
      </c>
      <c r="F138" s="3">
        <v>4</v>
      </c>
    </row>
    <row r="139" spans="1:6" x14ac:dyDescent="0.25">
      <c r="A139" s="2" t="s">
        <v>278</v>
      </c>
      <c r="B139" s="3">
        <v>1</v>
      </c>
      <c r="C139" s="3">
        <v>1</v>
      </c>
      <c r="D139" s="3">
        <v>1</v>
      </c>
      <c r="E139" s="3">
        <v>0</v>
      </c>
      <c r="F139" s="3">
        <v>1</v>
      </c>
    </row>
    <row r="140" spans="1:6" x14ac:dyDescent="0.25">
      <c r="A140" s="2" t="s">
        <v>1303</v>
      </c>
      <c r="B140" s="3">
        <v>6</v>
      </c>
      <c r="C140" s="3">
        <v>6</v>
      </c>
      <c r="D140" s="3">
        <v>1</v>
      </c>
      <c r="E140" s="3">
        <v>0</v>
      </c>
      <c r="F140" s="3">
        <v>2</v>
      </c>
    </row>
    <row r="141" spans="1:6" x14ac:dyDescent="0.25">
      <c r="A141" s="2" t="s">
        <v>280</v>
      </c>
      <c r="B141" s="3">
        <v>8</v>
      </c>
      <c r="C141" s="3">
        <v>8</v>
      </c>
      <c r="D141" s="3">
        <v>2</v>
      </c>
      <c r="E141" s="3">
        <v>0</v>
      </c>
      <c r="F141" s="3">
        <v>4</v>
      </c>
    </row>
    <row r="142" spans="1:6" x14ac:dyDescent="0.25">
      <c r="A142" s="2" t="s">
        <v>58</v>
      </c>
      <c r="B142" s="3">
        <v>2</v>
      </c>
      <c r="C142" s="3">
        <v>2</v>
      </c>
      <c r="D142" s="3">
        <v>1</v>
      </c>
      <c r="E142" s="3">
        <v>1</v>
      </c>
      <c r="F142" s="3">
        <v>1</v>
      </c>
    </row>
    <row r="143" spans="1:6" x14ac:dyDescent="0.25">
      <c r="A143" s="2" t="s">
        <v>1317</v>
      </c>
      <c r="B143" s="3">
        <v>4</v>
      </c>
      <c r="C143" s="3">
        <v>4</v>
      </c>
      <c r="D143" s="3">
        <v>0</v>
      </c>
      <c r="E143" s="3">
        <v>0</v>
      </c>
      <c r="F143" s="3">
        <v>3</v>
      </c>
    </row>
    <row r="144" spans="1:6" x14ac:dyDescent="0.25">
      <c r="A144" s="2" t="s">
        <v>60</v>
      </c>
      <c r="B144" s="3">
        <v>7</v>
      </c>
      <c r="C144" s="3">
        <v>7</v>
      </c>
      <c r="D144" s="3">
        <v>1</v>
      </c>
      <c r="E144" s="3">
        <v>1</v>
      </c>
      <c r="F144" s="3">
        <v>4</v>
      </c>
    </row>
    <row r="145" spans="1:6" x14ac:dyDescent="0.25">
      <c r="A145" s="2" t="s">
        <v>1327</v>
      </c>
      <c r="B145" s="3">
        <v>1</v>
      </c>
      <c r="C145" s="3">
        <v>1</v>
      </c>
      <c r="D145" s="3">
        <v>0</v>
      </c>
      <c r="E145" s="3">
        <v>0</v>
      </c>
      <c r="F145" s="3">
        <v>1</v>
      </c>
    </row>
    <row r="146" spans="1:6" x14ac:dyDescent="0.25">
      <c r="A146" s="2" t="s">
        <v>1329</v>
      </c>
      <c r="B146" s="3">
        <v>2</v>
      </c>
      <c r="C146" s="3">
        <v>2</v>
      </c>
      <c r="D146" s="3">
        <v>0</v>
      </c>
      <c r="E146" s="3">
        <v>0</v>
      </c>
      <c r="F146" s="3">
        <v>2</v>
      </c>
    </row>
    <row r="147" spans="1:6" x14ac:dyDescent="0.25">
      <c r="A147" s="2" t="s">
        <v>1332</v>
      </c>
      <c r="B147" s="3">
        <v>1</v>
      </c>
      <c r="C147" s="3">
        <v>1</v>
      </c>
      <c r="D147" s="3">
        <v>0</v>
      </c>
      <c r="E147" s="3">
        <v>0</v>
      </c>
      <c r="F147" s="3">
        <v>1</v>
      </c>
    </row>
    <row r="148" spans="1:6" x14ac:dyDescent="0.25">
      <c r="A148" s="2" t="s">
        <v>283</v>
      </c>
      <c r="B148" s="3">
        <v>2</v>
      </c>
      <c r="C148" s="3">
        <v>2</v>
      </c>
      <c r="D148" s="3">
        <v>2</v>
      </c>
      <c r="E148" s="3">
        <v>0</v>
      </c>
      <c r="F148" s="3">
        <v>1</v>
      </c>
    </row>
    <row r="149" spans="1:6" x14ac:dyDescent="0.25">
      <c r="A149" s="2" t="s">
        <v>1334</v>
      </c>
      <c r="B149" s="3">
        <v>2</v>
      </c>
      <c r="C149" s="3">
        <v>1</v>
      </c>
      <c r="D149" s="3">
        <v>0</v>
      </c>
      <c r="E149" s="3">
        <v>0</v>
      </c>
      <c r="F149" s="3">
        <v>1</v>
      </c>
    </row>
    <row r="150" spans="1:6" x14ac:dyDescent="0.25">
      <c r="A150" s="2" t="s">
        <v>1336</v>
      </c>
      <c r="B150" s="3">
        <v>2</v>
      </c>
      <c r="C150" s="3">
        <v>2</v>
      </c>
      <c r="D150" s="3">
        <v>0</v>
      </c>
      <c r="E150" s="3">
        <v>0</v>
      </c>
      <c r="F150" s="3">
        <v>1</v>
      </c>
    </row>
    <row r="151" spans="1:6" x14ac:dyDescent="0.25">
      <c r="A151" s="2" t="s">
        <v>286</v>
      </c>
      <c r="B151" s="3">
        <v>7</v>
      </c>
      <c r="C151" s="3">
        <v>7</v>
      </c>
      <c r="D151" s="3">
        <v>1</v>
      </c>
      <c r="E151" s="3">
        <v>0</v>
      </c>
      <c r="F151" s="3">
        <v>5</v>
      </c>
    </row>
    <row r="152" spans="1:6" x14ac:dyDescent="0.25">
      <c r="A152" s="2" t="s">
        <v>1344</v>
      </c>
      <c r="B152" s="3">
        <v>6</v>
      </c>
      <c r="C152" s="3">
        <v>6</v>
      </c>
      <c r="D152" s="3">
        <v>0</v>
      </c>
      <c r="E152" s="3">
        <v>0</v>
      </c>
      <c r="F152" s="3">
        <v>5</v>
      </c>
    </row>
    <row r="153" spans="1:6" x14ac:dyDescent="0.25">
      <c r="A153" s="2" t="s">
        <v>1351</v>
      </c>
      <c r="B153" s="3">
        <v>3</v>
      </c>
      <c r="C153" s="3">
        <v>3</v>
      </c>
      <c r="D153" s="3">
        <v>0</v>
      </c>
      <c r="E153" s="3">
        <v>0</v>
      </c>
      <c r="F153" s="3">
        <v>2</v>
      </c>
    </row>
    <row r="154" spans="1:6" x14ac:dyDescent="0.25">
      <c r="A154" s="2" t="s">
        <v>288</v>
      </c>
      <c r="B154" s="3">
        <v>6</v>
      </c>
      <c r="C154" s="3">
        <v>6</v>
      </c>
      <c r="D154" s="3">
        <v>2</v>
      </c>
      <c r="E154" s="3">
        <v>0</v>
      </c>
      <c r="F154" s="3">
        <v>6</v>
      </c>
    </row>
    <row r="155" spans="1:6" x14ac:dyDescent="0.25">
      <c r="A155" s="2" t="s">
        <v>1359</v>
      </c>
      <c r="B155" s="3">
        <v>6</v>
      </c>
      <c r="C155" s="3">
        <v>6</v>
      </c>
      <c r="D155" s="3">
        <v>0</v>
      </c>
      <c r="E155" s="3">
        <v>0</v>
      </c>
      <c r="F155" s="3">
        <v>4</v>
      </c>
    </row>
    <row r="156" spans="1:6" x14ac:dyDescent="0.25">
      <c r="A156" s="2" t="s">
        <v>1365</v>
      </c>
      <c r="B156" s="3">
        <v>1</v>
      </c>
      <c r="C156" s="3">
        <v>1</v>
      </c>
      <c r="D156" s="3">
        <v>0</v>
      </c>
      <c r="E156" s="3">
        <v>0</v>
      </c>
      <c r="F156" s="3">
        <v>1</v>
      </c>
    </row>
    <row r="157" spans="1:6" x14ac:dyDescent="0.25">
      <c r="A157" s="2" t="s">
        <v>1367</v>
      </c>
      <c r="B157" s="3">
        <v>1</v>
      </c>
      <c r="C157" s="3">
        <v>1</v>
      </c>
      <c r="D157" s="3">
        <v>0</v>
      </c>
      <c r="E157" s="3">
        <v>0</v>
      </c>
      <c r="F157" s="3">
        <v>1</v>
      </c>
    </row>
    <row r="158" spans="1:6" x14ac:dyDescent="0.25">
      <c r="A158" s="2" t="s">
        <v>1369</v>
      </c>
      <c r="B158" s="3">
        <v>3</v>
      </c>
      <c r="C158" s="3">
        <v>3</v>
      </c>
      <c r="D158" s="3">
        <v>1</v>
      </c>
      <c r="E158" s="3">
        <v>0</v>
      </c>
      <c r="F158" s="3">
        <v>2</v>
      </c>
    </row>
    <row r="159" spans="1:6" x14ac:dyDescent="0.25">
      <c r="A159" s="2" t="s">
        <v>1373</v>
      </c>
      <c r="B159" s="3">
        <v>5</v>
      </c>
      <c r="C159" s="3">
        <v>5</v>
      </c>
      <c r="D159" s="3">
        <v>0</v>
      </c>
      <c r="E159" s="3">
        <v>0</v>
      </c>
      <c r="F159" s="3">
        <v>4</v>
      </c>
    </row>
    <row r="160" spans="1:6" x14ac:dyDescent="0.25">
      <c r="A160" s="2" t="s">
        <v>62</v>
      </c>
      <c r="B160" s="3">
        <v>28</v>
      </c>
      <c r="C160" s="3">
        <v>27</v>
      </c>
      <c r="D160" s="3">
        <v>4</v>
      </c>
      <c r="E160" s="3">
        <v>1</v>
      </c>
      <c r="F160" s="3">
        <v>18</v>
      </c>
    </row>
    <row r="161" spans="1:6" x14ac:dyDescent="0.25">
      <c r="A161" s="2" t="s">
        <v>1400</v>
      </c>
      <c r="B161" s="3">
        <v>2</v>
      </c>
      <c r="C161" s="3">
        <v>2</v>
      </c>
      <c r="D161" s="3">
        <v>0</v>
      </c>
      <c r="E161" s="3">
        <v>0</v>
      </c>
      <c r="F161" s="3">
        <v>1</v>
      </c>
    </row>
    <row r="162" spans="1:6" x14ac:dyDescent="0.25">
      <c r="A162" s="2" t="s">
        <v>294</v>
      </c>
      <c r="B162" s="3">
        <v>7</v>
      </c>
      <c r="C162" s="3">
        <v>6</v>
      </c>
      <c r="D162" s="3">
        <v>1</v>
      </c>
      <c r="E162" s="3">
        <v>0</v>
      </c>
      <c r="F162" s="3">
        <v>5</v>
      </c>
    </row>
    <row r="163" spans="1:6" x14ac:dyDescent="0.25">
      <c r="A163" s="2" t="s">
        <v>1407</v>
      </c>
      <c r="B163" s="3">
        <v>2</v>
      </c>
      <c r="C163" s="3">
        <v>1</v>
      </c>
      <c r="D163" s="3">
        <v>0</v>
      </c>
      <c r="E163" s="3">
        <v>0</v>
      </c>
      <c r="F163" s="3">
        <v>1</v>
      </c>
    </row>
    <row r="164" spans="1:6" x14ac:dyDescent="0.25">
      <c r="A164" s="2" t="s">
        <v>1409</v>
      </c>
      <c r="B164" s="3">
        <v>8</v>
      </c>
      <c r="C164" s="3">
        <v>7</v>
      </c>
      <c r="D164" s="3">
        <v>0</v>
      </c>
      <c r="E164" s="3">
        <v>0</v>
      </c>
      <c r="F164" s="3">
        <v>5</v>
      </c>
    </row>
    <row r="165" spans="1:6" x14ac:dyDescent="0.25">
      <c r="A165" s="2" t="s">
        <v>1417</v>
      </c>
      <c r="B165" s="3">
        <v>1</v>
      </c>
      <c r="C165" s="3">
        <v>1</v>
      </c>
      <c r="D165" s="3">
        <v>0</v>
      </c>
      <c r="E165" s="3">
        <v>0</v>
      </c>
      <c r="F165" s="3">
        <v>1</v>
      </c>
    </row>
    <row r="166" spans="1:6" x14ac:dyDescent="0.25">
      <c r="A166" s="2" t="s">
        <v>1419</v>
      </c>
      <c r="B166" s="3">
        <v>4</v>
      </c>
      <c r="C166" s="3">
        <v>3</v>
      </c>
      <c r="D166" s="3">
        <v>0</v>
      </c>
      <c r="E166" s="3">
        <v>0</v>
      </c>
      <c r="F166" s="3">
        <v>3</v>
      </c>
    </row>
    <row r="167" spans="1:6" x14ac:dyDescent="0.25">
      <c r="A167" s="2" t="s">
        <v>1424</v>
      </c>
      <c r="B167" s="3">
        <v>2</v>
      </c>
      <c r="C167" s="3">
        <v>2</v>
      </c>
      <c r="D167" s="3">
        <v>0</v>
      </c>
      <c r="E167" s="3">
        <v>0</v>
      </c>
      <c r="F167" s="3">
        <v>1</v>
      </c>
    </row>
    <row r="168" spans="1:6" x14ac:dyDescent="0.25">
      <c r="A168" s="2" t="s">
        <v>1427</v>
      </c>
      <c r="B168" s="3">
        <v>2</v>
      </c>
      <c r="C168" s="3">
        <v>2</v>
      </c>
      <c r="D168" s="3">
        <v>0</v>
      </c>
      <c r="E168" s="3">
        <v>0</v>
      </c>
      <c r="F168" s="3">
        <v>0</v>
      </c>
    </row>
    <row r="169" spans="1:6" x14ac:dyDescent="0.25">
      <c r="A169" s="2" t="s">
        <v>1430</v>
      </c>
      <c r="B169" s="3">
        <v>1</v>
      </c>
      <c r="C169" s="3">
        <v>1</v>
      </c>
      <c r="D169" s="3">
        <v>0</v>
      </c>
      <c r="E169" s="3">
        <v>0</v>
      </c>
      <c r="F169" s="3">
        <v>1</v>
      </c>
    </row>
    <row r="170" spans="1:6" x14ac:dyDescent="0.25">
      <c r="A170" s="2" t="s">
        <v>64</v>
      </c>
      <c r="B170" s="3">
        <v>38</v>
      </c>
      <c r="C170" s="3">
        <v>37</v>
      </c>
      <c r="D170" s="3">
        <v>8</v>
      </c>
      <c r="E170" s="3">
        <v>2</v>
      </c>
      <c r="F170" s="3">
        <v>24</v>
      </c>
    </row>
    <row r="171" spans="1:6" x14ac:dyDescent="0.25">
      <c r="A171" s="2" t="s">
        <v>66</v>
      </c>
      <c r="B171" s="3">
        <v>64</v>
      </c>
      <c r="C171" s="3">
        <v>64</v>
      </c>
      <c r="D171" s="3">
        <v>18</v>
      </c>
      <c r="E171" s="3">
        <v>4</v>
      </c>
      <c r="F171" s="3">
        <v>27</v>
      </c>
    </row>
    <row r="172" spans="1:6" x14ac:dyDescent="0.25">
      <c r="A172" s="2" t="s">
        <v>315</v>
      </c>
      <c r="B172" s="3">
        <v>6</v>
      </c>
      <c r="C172" s="3">
        <v>6</v>
      </c>
      <c r="D172" s="3">
        <v>4</v>
      </c>
      <c r="E172" s="3">
        <v>0</v>
      </c>
      <c r="F172" s="3">
        <v>1</v>
      </c>
    </row>
    <row r="173" spans="1:6" x14ac:dyDescent="0.25">
      <c r="A173" s="2" t="s">
        <v>71</v>
      </c>
      <c r="B173" s="3">
        <v>5</v>
      </c>
      <c r="C173" s="3">
        <v>5</v>
      </c>
      <c r="D173" s="3">
        <v>3</v>
      </c>
      <c r="E173" s="3">
        <v>1</v>
      </c>
      <c r="F173" s="3">
        <v>4</v>
      </c>
    </row>
    <row r="174" spans="1:6" x14ac:dyDescent="0.25">
      <c r="A174" s="2" t="s">
        <v>321</v>
      </c>
      <c r="B174" s="3">
        <v>30</v>
      </c>
      <c r="C174" s="3">
        <v>30</v>
      </c>
      <c r="D174" s="3">
        <v>7</v>
      </c>
      <c r="E174" s="3">
        <v>0</v>
      </c>
      <c r="F174" s="3">
        <v>17</v>
      </c>
    </row>
    <row r="175" spans="1:6" x14ac:dyDescent="0.25">
      <c r="A175" s="2" t="s">
        <v>329</v>
      </c>
      <c r="B175" s="3">
        <v>10</v>
      </c>
      <c r="C175" s="3">
        <v>10</v>
      </c>
      <c r="D175" s="3">
        <v>1</v>
      </c>
      <c r="E175" s="3">
        <v>0</v>
      </c>
      <c r="F175" s="3">
        <v>5</v>
      </c>
    </row>
    <row r="176" spans="1:6" x14ac:dyDescent="0.25">
      <c r="A176" s="2" t="s">
        <v>73</v>
      </c>
      <c r="B176" s="3">
        <v>3</v>
      </c>
      <c r="C176" s="3">
        <v>3</v>
      </c>
      <c r="D176" s="3">
        <v>2</v>
      </c>
      <c r="E176" s="3">
        <v>0</v>
      </c>
      <c r="F176" s="3">
        <v>1</v>
      </c>
    </row>
    <row r="177" spans="1:6" x14ac:dyDescent="0.25">
      <c r="A177" s="2" t="s">
        <v>332</v>
      </c>
      <c r="B177" s="3">
        <v>10</v>
      </c>
      <c r="C177" s="3">
        <v>10</v>
      </c>
      <c r="D177" s="3">
        <v>2</v>
      </c>
      <c r="E177" s="3">
        <v>0</v>
      </c>
      <c r="F177" s="3">
        <v>6</v>
      </c>
    </row>
    <row r="178" spans="1:6" x14ac:dyDescent="0.25">
      <c r="A178" s="2" t="s">
        <v>75</v>
      </c>
      <c r="B178" s="3">
        <v>160</v>
      </c>
      <c r="C178" s="3">
        <v>158</v>
      </c>
      <c r="D178" s="3">
        <v>22</v>
      </c>
      <c r="E178" s="3">
        <v>6</v>
      </c>
      <c r="F178" s="3">
        <v>83</v>
      </c>
    </row>
    <row r="179" spans="1:6" x14ac:dyDescent="0.25">
      <c r="A179" s="2" t="s">
        <v>82</v>
      </c>
      <c r="B179" s="3">
        <v>19</v>
      </c>
      <c r="C179" s="3">
        <v>18</v>
      </c>
      <c r="D179" s="3">
        <v>6</v>
      </c>
      <c r="E179" s="3">
        <v>1</v>
      </c>
      <c r="F179" s="3">
        <v>16</v>
      </c>
    </row>
    <row r="180" spans="1:6" x14ac:dyDescent="0.25">
      <c r="A180" s="2" t="s">
        <v>1698</v>
      </c>
      <c r="B180" s="3">
        <v>1</v>
      </c>
      <c r="C180" s="3">
        <v>1</v>
      </c>
      <c r="D180" s="3">
        <v>0</v>
      </c>
      <c r="E180" s="3">
        <v>0</v>
      </c>
      <c r="F180" s="3">
        <v>1</v>
      </c>
    </row>
    <row r="181" spans="1:6" x14ac:dyDescent="0.25">
      <c r="A181" s="2" t="s">
        <v>1700</v>
      </c>
      <c r="B181" s="3">
        <v>1</v>
      </c>
      <c r="C181" s="3">
        <v>1</v>
      </c>
      <c r="D181" s="3">
        <v>0</v>
      </c>
      <c r="E181" s="3">
        <v>0</v>
      </c>
      <c r="F181" s="3">
        <v>0</v>
      </c>
    </row>
    <row r="182" spans="1:6" x14ac:dyDescent="0.25">
      <c r="A182" s="2" t="s">
        <v>359</v>
      </c>
      <c r="B182" s="3">
        <v>3</v>
      </c>
      <c r="C182" s="3">
        <v>3</v>
      </c>
      <c r="D182" s="3">
        <v>2</v>
      </c>
      <c r="E182" s="3">
        <v>0</v>
      </c>
      <c r="F182" s="3">
        <v>3</v>
      </c>
    </row>
    <row r="183" spans="1:6" x14ac:dyDescent="0.25">
      <c r="A183" s="2" t="s">
        <v>362</v>
      </c>
      <c r="B183" s="3">
        <v>9</v>
      </c>
      <c r="C183" s="3">
        <v>8</v>
      </c>
      <c r="D183" s="3">
        <v>1</v>
      </c>
      <c r="E183" s="3">
        <v>0</v>
      </c>
      <c r="F183" s="3">
        <v>6</v>
      </c>
    </row>
    <row r="184" spans="1:6" x14ac:dyDescent="0.25">
      <c r="A184" s="2" t="s">
        <v>1709</v>
      </c>
      <c r="B184" s="3">
        <v>3</v>
      </c>
      <c r="C184" s="3">
        <v>3</v>
      </c>
      <c r="D184" s="3">
        <v>0</v>
      </c>
      <c r="E184" s="3">
        <v>0</v>
      </c>
      <c r="F184" s="3">
        <v>2</v>
      </c>
    </row>
    <row r="185" spans="1:6" x14ac:dyDescent="0.25">
      <c r="A185" s="2" t="s">
        <v>364</v>
      </c>
      <c r="B185" s="3">
        <v>4</v>
      </c>
      <c r="C185" s="3">
        <v>4</v>
      </c>
      <c r="D185" s="3">
        <v>1</v>
      </c>
      <c r="E185" s="3">
        <v>0</v>
      </c>
      <c r="F185" s="3">
        <v>2</v>
      </c>
    </row>
    <row r="186" spans="1:6" x14ac:dyDescent="0.25">
      <c r="A186" s="2" t="s">
        <v>1716</v>
      </c>
      <c r="B186" s="3">
        <v>3</v>
      </c>
      <c r="C186" s="3">
        <v>3</v>
      </c>
      <c r="D186" s="3">
        <v>0</v>
      </c>
      <c r="E186" s="3">
        <v>0</v>
      </c>
      <c r="F186" s="3">
        <v>2</v>
      </c>
    </row>
    <row r="187" spans="1:6" x14ac:dyDescent="0.25">
      <c r="A187" s="2" t="s">
        <v>1720</v>
      </c>
      <c r="B187" s="3">
        <v>1</v>
      </c>
      <c r="C187" s="3">
        <v>1</v>
      </c>
      <c r="D187" s="3">
        <v>0</v>
      </c>
      <c r="E187" s="3">
        <v>0</v>
      </c>
      <c r="F187" s="3">
        <v>1</v>
      </c>
    </row>
    <row r="188" spans="1:6" x14ac:dyDescent="0.25">
      <c r="A188" s="2" t="s">
        <v>366</v>
      </c>
      <c r="B188" s="3">
        <v>3</v>
      </c>
      <c r="C188" s="3">
        <v>3</v>
      </c>
      <c r="D188" s="3">
        <v>1</v>
      </c>
      <c r="E188" s="3">
        <v>0</v>
      </c>
      <c r="F188" s="3">
        <v>2</v>
      </c>
    </row>
    <row r="189" spans="1:6" x14ac:dyDescent="0.25">
      <c r="A189" s="2" t="s">
        <v>368</v>
      </c>
      <c r="B189" s="3">
        <v>9</v>
      </c>
      <c r="C189" s="3">
        <v>8</v>
      </c>
      <c r="D189" s="3">
        <v>1</v>
      </c>
      <c r="E189" s="3">
        <v>0</v>
      </c>
      <c r="F189" s="3">
        <v>5</v>
      </c>
    </row>
    <row r="190" spans="1:6" x14ac:dyDescent="0.25">
      <c r="A190" s="2" t="s">
        <v>1799</v>
      </c>
      <c r="B190" s="3">
        <v>1601</v>
      </c>
      <c r="C190" s="3">
        <v>1548</v>
      </c>
      <c r="D190" s="3">
        <v>257</v>
      </c>
      <c r="E190" s="3">
        <v>50</v>
      </c>
      <c r="F190" s="3">
        <v>954</v>
      </c>
    </row>
    <row r="197" spans="2:7" x14ac:dyDescent="0.25">
      <c r="B197" t="s">
        <v>1798</v>
      </c>
      <c r="C197" t="s">
        <v>1800</v>
      </c>
      <c r="D197" t="s">
        <v>1801</v>
      </c>
      <c r="E197" t="s">
        <v>1802</v>
      </c>
      <c r="F197" t="s">
        <v>1803</v>
      </c>
      <c r="G197" t="s">
        <v>1804</v>
      </c>
    </row>
    <row r="198" spans="2:7" x14ac:dyDescent="0.25">
      <c r="B198" t="s">
        <v>84</v>
      </c>
      <c r="C198">
        <v>13</v>
      </c>
      <c r="D198">
        <v>13</v>
      </c>
      <c r="E198">
        <v>5</v>
      </c>
      <c r="F198">
        <v>1</v>
      </c>
      <c r="G198">
        <v>8</v>
      </c>
    </row>
    <row r="199" spans="2:7" x14ac:dyDescent="0.25">
      <c r="B199" t="s">
        <v>9</v>
      </c>
      <c r="C199">
        <v>50</v>
      </c>
      <c r="D199">
        <v>50</v>
      </c>
      <c r="E199">
        <v>2</v>
      </c>
      <c r="F199">
        <v>1</v>
      </c>
      <c r="G199">
        <v>29</v>
      </c>
    </row>
    <row r="200" spans="2:7" x14ac:dyDescent="0.25">
      <c r="B200" t="s">
        <v>424</v>
      </c>
      <c r="C200">
        <v>3</v>
      </c>
      <c r="D200">
        <v>3</v>
      </c>
      <c r="E200">
        <v>0</v>
      </c>
      <c r="F200">
        <v>0</v>
      </c>
      <c r="G200">
        <v>2</v>
      </c>
    </row>
    <row r="201" spans="2:7" x14ac:dyDescent="0.25">
      <c r="B201" t="s">
        <v>91</v>
      </c>
      <c r="C201">
        <v>9</v>
      </c>
      <c r="D201">
        <v>9</v>
      </c>
      <c r="E201">
        <v>5</v>
      </c>
      <c r="F201">
        <v>0</v>
      </c>
      <c r="G201">
        <v>7</v>
      </c>
    </row>
    <row r="202" spans="2:7" x14ac:dyDescent="0.25">
      <c r="B202" t="s">
        <v>11</v>
      </c>
      <c r="C202">
        <v>7</v>
      </c>
      <c r="D202">
        <v>6</v>
      </c>
      <c r="E202">
        <v>2</v>
      </c>
      <c r="F202">
        <v>1</v>
      </c>
      <c r="G202">
        <v>4</v>
      </c>
    </row>
    <row r="203" spans="2:7" x14ac:dyDescent="0.25">
      <c r="B203" t="s">
        <v>438</v>
      </c>
      <c r="C203">
        <v>2</v>
      </c>
      <c r="D203">
        <v>2</v>
      </c>
      <c r="E203">
        <v>0</v>
      </c>
      <c r="F203">
        <v>0</v>
      </c>
      <c r="G203">
        <v>1</v>
      </c>
    </row>
    <row r="204" spans="2:7" x14ac:dyDescent="0.25">
      <c r="B204" t="s">
        <v>96</v>
      </c>
      <c r="C204">
        <v>6</v>
      </c>
      <c r="D204">
        <v>6</v>
      </c>
      <c r="E204">
        <v>3</v>
      </c>
      <c r="F204">
        <v>0</v>
      </c>
      <c r="G204">
        <v>4</v>
      </c>
    </row>
    <row r="205" spans="2:7" x14ac:dyDescent="0.25">
      <c r="B205" t="s">
        <v>443</v>
      </c>
      <c r="C205">
        <v>1</v>
      </c>
      <c r="D205">
        <v>1</v>
      </c>
      <c r="E205">
        <v>0</v>
      </c>
      <c r="F205">
        <v>0</v>
      </c>
      <c r="G205">
        <v>1</v>
      </c>
    </row>
    <row r="206" spans="2:7" x14ac:dyDescent="0.25">
      <c r="B206" t="s">
        <v>101</v>
      </c>
      <c r="C206">
        <v>6</v>
      </c>
      <c r="D206">
        <v>5</v>
      </c>
      <c r="E206">
        <v>0</v>
      </c>
      <c r="F206">
        <v>0</v>
      </c>
      <c r="G206">
        <v>3</v>
      </c>
    </row>
    <row r="207" spans="2:7" x14ac:dyDescent="0.25">
      <c r="B207" t="s">
        <v>450</v>
      </c>
      <c r="C207">
        <v>1</v>
      </c>
      <c r="D207">
        <v>1</v>
      </c>
      <c r="E207">
        <v>0</v>
      </c>
      <c r="F207">
        <v>0</v>
      </c>
      <c r="G207">
        <v>0</v>
      </c>
    </row>
    <row r="208" spans="2:7" x14ac:dyDescent="0.25">
      <c r="B208" t="s">
        <v>452</v>
      </c>
      <c r="C208">
        <v>3</v>
      </c>
      <c r="D208">
        <v>2</v>
      </c>
      <c r="E208">
        <v>0</v>
      </c>
      <c r="F208">
        <v>0</v>
      </c>
      <c r="G208">
        <v>2</v>
      </c>
    </row>
    <row r="209" spans="2:7" x14ac:dyDescent="0.25">
      <c r="B209" t="s">
        <v>103</v>
      </c>
      <c r="C209">
        <v>5</v>
      </c>
      <c r="D209">
        <v>5</v>
      </c>
      <c r="E209">
        <v>1</v>
      </c>
      <c r="F209">
        <v>0</v>
      </c>
      <c r="G209">
        <v>4</v>
      </c>
    </row>
    <row r="210" spans="2:7" x14ac:dyDescent="0.25">
      <c r="B210" t="s">
        <v>13</v>
      </c>
      <c r="C210">
        <v>24</v>
      </c>
      <c r="D210">
        <v>24</v>
      </c>
      <c r="E210">
        <v>4</v>
      </c>
      <c r="F210">
        <v>2</v>
      </c>
      <c r="G210">
        <v>14</v>
      </c>
    </row>
    <row r="211" spans="2:7" x14ac:dyDescent="0.25">
      <c r="B211" t="s">
        <v>479</v>
      </c>
      <c r="C211">
        <v>3</v>
      </c>
      <c r="D211">
        <v>2</v>
      </c>
      <c r="E211">
        <v>0</v>
      </c>
      <c r="F211">
        <v>0</v>
      </c>
      <c r="G211">
        <v>2</v>
      </c>
    </row>
    <row r="212" spans="2:7" x14ac:dyDescent="0.25">
      <c r="B212" t="s">
        <v>16</v>
      </c>
      <c r="C212">
        <v>27</v>
      </c>
      <c r="D212">
        <v>25</v>
      </c>
      <c r="E212">
        <v>0</v>
      </c>
      <c r="F212">
        <v>0</v>
      </c>
      <c r="G212">
        <v>17</v>
      </c>
    </row>
    <row r="213" spans="2:7" x14ac:dyDescent="0.25">
      <c r="B213" t="s">
        <v>108</v>
      </c>
      <c r="C213">
        <v>15</v>
      </c>
      <c r="D213">
        <v>15</v>
      </c>
      <c r="E213">
        <v>2</v>
      </c>
      <c r="F213">
        <v>0</v>
      </c>
      <c r="G213">
        <v>8</v>
      </c>
    </row>
    <row r="214" spans="2:7" x14ac:dyDescent="0.25">
      <c r="B214" t="s">
        <v>519</v>
      </c>
      <c r="C214">
        <v>1</v>
      </c>
      <c r="D214">
        <v>1</v>
      </c>
      <c r="E214">
        <v>0</v>
      </c>
      <c r="F214">
        <v>0</v>
      </c>
      <c r="G214">
        <v>0</v>
      </c>
    </row>
    <row r="215" spans="2:7" x14ac:dyDescent="0.25">
      <c r="B215" t="s">
        <v>521</v>
      </c>
      <c r="C215">
        <v>1</v>
      </c>
      <c r="D215">
        <v>1</v>
      </c>
      <c r="E215">
        <v>1</v>
      </c>
      <c r="F215">
        <v>0</v>
      </c>
      <c r="G215">
        <v>0</v>
      </c>
    </row>
    <row r="216" spans="2:7" x14ac:dyDescent="0.25">
      <c r="B216" t="s">
        <v>111</v>
      </c>
      <c r="C216">
        <v>10</v>
      </c>
      <c r="D216">
        <v>10</v>
      </c>
      <c r="E216">
        <v>2</v>
      </c>
      <c r="F216">
        <v>0</v>
      </c>
      <c r="G216">
        <v>5</v>
      </c>
    </row>
    <row r="217" spans="2:7" x14ac:dyDescent="0.25">
      <c r="B217" t="s">
        <v>18</v>
      </c>
      <c r="C217">
        <v>47</v>
      </c>
      <c r="D217">
        <v>47</v>
      </c>
      <c r="E217">
        <v>10</v>
      </c>
      <c r="F217">
        <v>2</v>
      </c>
      <c r="G217">
        <v>33</v>
      </c>
    </row>
    <row r="218" spans="2:7" x14ac:dyDescent="0.25">
      <c r="B218" t="s">
        <v>122</v>
      </c>
      <c r="C218">
        <v>12</v>
      </c>
      <c r="D218">
        <v>12</v>
      </c>
      <c r="E218">
        <v>3</v>
      </c>
      <c r="F218">
        <v>1</v>
      </c>
      <c r="G218">
        <v>4</v>
      </c>
    </row>
    <row r="219" spans="2:7" x14ac:dyDescent="0.25">
      <c r="B219" t="s">
        <v>21</v>
      </c>
      <c r="C219">
        <v>17</v>
      </c>
      <c r="D219">
        <v>17</v>
      </c>
      <c r="E219">
        <v>3</v>
      </c>
      <c r="F219">
        <v>1</v>
      </c>
      <c r="G219">
        <v>12</v>
      </c>
    </row>
    <row r="220" spans="2:7" x14ac:dyDescent="0.25">
      <c r="B220" t="s">
        <v>127</v>
      </c>
      <c r="C220">
        <v>11</v>
      </c>
      <c r="D220">
        <v>11</v>
      </c>
      <c r="E220">
        <v>3</v>
      </c>
      <c r="F220">
        <v>0</v>
      </c>
      <c r="G220">
        <v>7</v>
      </c>
    </row>
    <row r="221" spans="2:7" x14ac:dyDescent="0.25">
      <c r="B221" t="s">
        <v>597</v>
      </c>
      <c r="C221">
        <v>2</v>
      </c>
      <c r="D221">
        <v>2</v>
      </c>
      <c r="E221">
        <v>1</v>
      </c>
      <c r="F221">
        <v>0</v>
      </c>
      <c r="G221">
        <v>0</v>
      </c>
    </row>
    <row r="222" spans="2:7" x14ac:dyDescent="0.25">
      <c r="B222" t="s">
        <v>131</v>
      </c>
      <c r="C222">
        <v>2</v>
      </c>
      <c r="D222">
        <v>2</v>
      </c>
      <c r="E222">
        <v>0</v>
      </c>
      <c r="F222">
        <v>1</v>
      </c>
      <c r="G222">
        <v>1</v>
      </c>
    </row>
    <row r="223" spans="2:7" x14ac:dyDescent="0.25">
      <c r="B223" t="s">
        <v>133</v>
      </c>
      <c r="C223">
        <v>8</v>
      </c>
      <c r="D223">
        <v>8</v>
      </c>
      <c r="E223">
        <v>2</v>
      </c>
      <c r="F223">
        <v>0</v>
      </c>
      <c r="G223">
        <v>4</v>
      </c>
    </row>
    <row r="224" spans="2:7" x14ac:dyDescent="0.25">
      <c r="B224" t="s">
        <v>23</v>
      </c>
      <c r="C224">
        <v>7</v>
      </c>
      <c r="D224">
        <v>7</v>
      </c>
      <c r="E224">
        <v>3</v>
      </c>
      <c r="F224">
        <v>1</v>
      </c>
      <c r="G224">
        <v>5</v>
      </c>
    </row>
    <row r="225" spans="2:7" x14ac:dyDescent="0.25">
      <c r="B225" t="s">
        <v>612</v>
      </c>
      <c r="C225">
        <v>3</v>
      </c>
      <c r="D225">
        <v>3</v>
      </c>
      <c r="E225">
        <v>0</v>
      </c>
      <c r="F225">
        <v>0</v>
      </c>
      <c r="G225">
        <v>3</v>
      </c>
    </row>
    <row r="226" spans="2:7" x14ac:dyDescent="0.25">
      <c r="B226" t="s">
        <v>26</v>
      </c>
      <c r="C226">
        <v>52</v>
      </c>
      <c r="D226">
        <v>50</v>
      </c>
      <c r="E226">
        <v>3</v>
      </c>
      <c r="F226">
        <v>1</v>
      </c>
      <c r="G226">
        <v>41</v>
      </c>
    </row>
    <row r="227" spans="2:7" x14ac:dyDescent="0.25">
      <c r="B227" t="s">
        <v>139</v>
      </c>
      <c r="C227">
        <v>11</v>
      </c>
      <c r="D227">
        <v>11</v>
      </c>
      <c r="E227">
        <v>1</v>
      </c>
      <c r="F227">
        <v>0</v>
      </c>
      <c r="G227">
        <v>6</v>
      </c>
    </row>
    <row r="228" spans="2:7" x14ac:dyDescent="0.25">
      <c r="B228" t="s">
        <v>673</v>
      </c>
      <c r="C228">
        <v>8</v>
      </c>
      <c r="D228">
        <v>7</v>
      </c>
      <c r="E228">
        <v>0</v>
      </c>
      <c r="F228">
        <v>0</v>
      </c>
      <c r="G228">
        <v>7</v>
      </c>
    </row>
    <row r="229" spans="2:7" x14ac:dyDescent="0.25">
      <c r="B229" t="s">
        <v>681</v>
      </c>
      <c r="C229">
        <v>6</v>
      </c>
      <c r="D229">
        <v>6</v>
      </c>
      <c r="E229">
        <v>0</v>
      </c>
      <c r="F229">
        <v>0</v>
      </c>
      <c r="G229">
        <v>2</v>
      </c>
    </row>
    <row r="230" spans="2:7" x14ac:dyDescent="0.25">
      <c r="B230" t="s">
        <v>688</v>
      </c>
      <c r="C230">
        <v>1</v>
      </c>
      <c r="D230">
        <v>1</v>
      </c>
      <c r="E230">
        <v>0</v>
      </c>
      <c r="F230">
        <v>0</v>
      </c>
      <c r="G230">
        <v>0</v>
      </c>
    </row>
    <row r="231" spans="2:7" x14ac:dyDescent="0.25">
      <c r="B231" t="s">
        <v>690</v>
      </c>
      <c r="C231">
        <v>1</v>
      </c>
      <c r="D231">
        <v>1</v>
      </c>
      <c r="E231">
        <v>0</v>
      </c>
      <c r="F231">
        <v>0</v>
      </c>
      <c r="G231">
        <v>1</v>
      </c>
    </row>
    <row r="232" spans="2:7" x14ac:dyDescent="0.25">
      <c r="B232" t="s">
        <v>692</v>
      </c>
      <c r="C232">
        <v>10</v>
      </c>
      <c r="D232">
        <v>10</v>
      </c>
      <c r="E232">
        <v>1</v>
      </c>
      <c r="F232">
        <v>0</v>
      </c>
      <c r="G232">
        <v>4</v>
      </c>
    </row>
    <row r="233" spans="2:7" x14ac:dyDescent="0.25">
      <c r="B233" t="s">
        <v>702</v>
      </c>
      <c r="C233">
        <v>1</v>
      </c>
      <c r="D233">
        <v>1</v>
      </c>
      <c r="E233">
        <v>0</v>
      </c>
      <c r="F233">
        <v>0</v>
      </c>
      <c r="G233">
        <v>0</v>
      </c>
    </row>
    <row r="234" spans="2:7" x14ac:dyDescent="0.25">
      <c r="B234" t="s">
        <v>28</v>
      </c>
      <c r="C234">
        <v>14</v>
      </c>
      <c r="D234">
        <v>13</v>
      </c>
      <c r="E234">
        <v>1</v>
      </c>
      <c r="F234">
        <v>2</v>
      </c>
      <c r="G234">
        <v>10</v>
      </c>
    </row>
    <row r="235" spans="2:7" x14ac:dyDescent="0.25">
      <c r="B235" t="s">
        <v>715</v>
      </c>
      <c r="C235">
        <v>1</v>
      </c>
      <c r="D235">
        <v>1</v>
      </c>
      <c r="E235">
        <v>0</v>
      </c>
      <c r="F235">
        <v>0</v>
      </c>
      <c r="G235">
        <v>0</v>
      </c>
    </row>
    <row r="236" spans="2:7" x14ac:dyDescent="0.25">
      <c r="B236" t="s">
        <v>717</v>
      </c>
      <c r="C236">
        <v>2</v>
      </c>
      <c r="D236">
        <v>2</v>
      </c>
      <c r="E236">
        <v>0</v>
      </c>
      <c r="F236">
        <v>0</v>
      </c>
      <c r="G236">
        <v>1</v>
      </c>
    </row>
    <row r="237" spans="2:7" x14ac:dyDescent="0.25">
      <c r="B237" t="s">
        <v>31</v>
      </c>
      <c r="C237">
        <v>27</v>
      </c>
      <c r="D237">
        <v>26</v>
      </c>
      <c r="E237">
        <v>5</v>
      </c>
      <c r="F237">
        <v>1</v>
      </c>
      <c r="G237">
        <v>14</v>
      </c>
    </row>
    <row r="238" spans="2:7" x14ac:dyDescent="0.25">
      <c r="B238" t="s">
        <v>145</v>
      </c>
      <c r="C238">
        <v>4</v>
      </c>
      <c r="D238">
        <v>4</v>
      </c>
      <c r="E238">
        <v>2</v>
      </c>
      <c r="F238">
        <v>0</v>
      </c>
      <c r="G238">
        <v>1</v>
      </c>
    </row>
    <row r="239" spans="2:7" x14ac:dyDescent="0.25">
      <c r="B239" t="s">
        <v>742</v>
      </c>
      <c r="C239">
        <v>1</v>
      </c>
      <c r="D239">
        <v>1</v>
      </c>
      <c r="E239">
        <v>0</v>
      </c>
      <c r="F239">
        <v>0</v>
      </c>
      <c r="G239">
        <v>0</v>
      </c>
    </row>
    <row r="240" spans="2:7" x14ac:dyDescent="0.25">
      <c r="B240" t="s">
        <v>148</v>
      </c>
      <c r="C240">
        <v>47</v>
      </c>
      <c r="D240">
        <v>47</v>
      </c>
      <c r="E240">
        <v>19</v>
      </c>
      <c r="F240">
        <v>0</v>
      </c>
      <c r="G240">
        <v>26</v>
      </c>
    </row>
    <row r="241" spans="2:7" x14ac:dyDescent="0.25">
      <c r="B241" t="s">
        <v>775</v>
      </c>
      <c r="C241">
        <v>1</v>
      </c>
      <c r="D241">
        <v>1</v>
      </c>
      <c r="E241">
        <v>0</v>
      </c>
      <c r="F241">
        <v>0</v>
      </c>
      <c r="G241">
        <v>1</v>
      </c>
    </row>
    <row r="242" spans="2:7" x14ac:dyDescent="0.25">
      <c r="B242" t="s">
        <v>164</v>
      </c>
      <c r="C242">
        <v>5</v>
      </c>
      <c r="D242">
        <v>5</v>
      </c>
      <c r="E242">
        <v>1</v>
      </c>
      <c r="F242">
        <v>0</v>
      </c>
      <c r="G242">
        <v>3</v>
      </c>
    </row>
    <row r="243" spans="2:7" x14ac:dyDescent="0.25">
      <c r="B243" t="s">
        <v>166</v>
      </c>
      <c r="C243">
        <v>23</v>
      </c>
      <c r="D243">
        <v>23</v>
      </c>
      <c r="E243">
        <v>3</v>
      </c>
      <c r="F243">
        <v>0</v>
      </c>
      <c r="G243">
        <v>16</v>
      </c>
    </row>
    <row r="244" spans="2:7" x14ac:dyDescent="0.25">
      <c r="B244" t="s">
        <v>801</v>
      </c>
      <c r="C244">
        <v>2</v>
      </c>
      <c r="D244">
        <v>2</v>
      </c>
      <c r="E244">
        <v>1</v>
      </c>
      <c r="F244">
        <v>0</v>
      </c>
      <c r="G244">
        <v>1</v>
      </c>
    </row>
    <row r="245" spans="2:7" x14ac:dyDescent="0.25">
      <c r="B245" t="s">
        <v>804</v>
      </c>
      <c r="C245">
        <v>5</v>
      </c>
      <c r="D245">
        <v>5</v>
      </c>
      <c r="E245">
        <v>0</v>
      </c>
      <c r="F245">
        <v>0</v>
      </c>
      <c r="G245">
        <v>4</v>
      </c>
    </row>
    <row r="246" spans="2:7" x14ac:dyDescent="0.25">
      <c r="B246" t="s">
        <v>34</v>
      </c>
      <c r="C246">
        <v>2</v>
      </c>
      <c r="D246">
        <v>2</v>
      </c>
      <c r="E246">
        <v>1</v>
      </c>
      <c r="F246">
        <v>1</v>
      </c>
      <c r="G246">
        <v>2</v>
      </c>
    </row>
    <row r="247" spans="2:7" x14ac:dyDescent="0.25">
      <c r="B247" t="s">
        <v>36</v>
      </c>
      <c r="C247">
        <v>4</v>
      </c>
      <c r="D247">
        <v>3</v>
      </c>
      <c r="E247">
        <v>0</v>
      </c>
      <c r="F247">
        <v>1</v>
      </c>
      <c r="G247">
        <v>3</v>
      </c>
    </row>
    <row r="248" spans="2:7" x14ac:dyDescent="0.25">
      <c r="B248" t="s">
        <v>38</v>
      </c>
      <c r="C248">
        <v>18</v>
      </c>
      <c r="D248">
        <v>16</v>
      </c>
      <c r="E248">
        <v>1</v>
      </c>
      <c r="F248">
        <v>0</v>
      </c>
      <c r="G248">
        <v>9</v>
      </c>
    </row>
    <row r="249" spans="2:7" x14ac:dyDescent="0.25">
      <c r="B249" t="s">
        <v>170</v>
      </c>
      <c r="C249">
        <v>3</v>
      </c>
      <c r="D249">
        <v>3</v>
      </c>
      <c r="E249">
        <v>1</v>
      </c>
      <c r="F249">
        <v>0</v>
      </c>
      <c r="G249">
        <v>1</v>
      </c>
    </row>
    <row r="250" spans="2:7" x14ac:dyDescent="0.25">
      <c r="B250" t="s">
        <v>833</v>
      </c>
      <c r="C250">
        <v>3</v>
      </c>
      <c r="D250">
        <v>3</v>
      </c>
      <c r="E250">
        <v>0</v>
      </c>
      <c r="F250">
        <v>0</v>
      </c>
      <c r="G250">
        <v>1</v>
      </c>
    </row>
    <row r="251" spans="2:7" x14ac:dyDescent="0.25">
      <c r="B251" t="s">
        <v>172</v>
      </c>
      <c r="C251">
        <v>4</v>
      </c>
      <c r="D251">
        <v>4</v>
      </c>
      <c r="E251">
        <v>1</v>
      </c>
      <c r="F251">
        <v>0</v>
      </c>
      <c r="G251">
        <v>3</v>
      </c>
    </row>
    <row r="252" spans="2:7" x14ac:dyDescent="0.25">
      <c r="B252" t="s">
        <v>840</v>
      </c>
      <c r="C252">
        <v>1</v>
      </c>
      <c r="D252">
        <v>1</v>
      </c>
      <c r="E252">
        <v>0</v>
      </c>
      <c r="F252">
        <v>0</v>
      </c>
      <c r="G252">
        <v>1</v>
      </c>
    </row>
    <row r="253" spans="2:7" x14ac:dyDescent="0.25">
      <c r="B253" t="s">
        <v>174</v>
      </c>
      <c r="C253">
        <v>15</v>
      </c>
      <c r="D253">
        <v>15</v>
      </c>
      <c r="E253">
        <v>2</v>
      </c>
      <c r="F253">
        <v>0</v>
      </c>
      <c r="G253">
        <v>8</v>
      </c>
    </row>
    <row r="254" spans="2:7" x14ac:dyDescent="0.25">
      <c r="B254" t="s">
        <v>40</v>
      </c>
      <c r="C254">
        <v>6</v>
      </c>
      <c r="D254">
        <v>6</v>
      </c>
      <c r="E254">
        <v>2</v>
      </c>
      <c r="F254">
        <v>1</v>
      </c>
      <c r="G254">
        <v>5</v>
      </c>
    </row>
    <row r="255" spans="2:7" x14ac:dyDescent="0.25">
      <c r="B255" t="s">
        <v>858</v>
      </c>
      <c r="C255">
        <v>4</v>
      </c>
      <c r="D255">
        <v>3</v>
      </c>
      <c r="E255">
        <v>0</v>
      </c>
      <c r="F255">
        <v>0</v>
      </c>
      <c r="G255">
        <v>2</v>
      </c>
    </row>
    <row r="256" spans="2:7" x14ac:dyDescent="0.25">
      <c r="B256" t="s">
        <v>42</v>
      </c>
      <c r="C256">
        <v>38</v>
      </c>
      <c r="D256">
        <v>26</v>
      </c>
      <c r="E256">
        <v>1</v>
      </c>
      <c r="F256">
        <v>1</v>
      </c>
      <c r="G256">
        <v>19</v>
      </c>
    </row>
    <row r="257" spans="2:7" x14ac:dyDescent="0.25">
      <c r="B257" t="s">
        <v>183</v>
      </c>
      <c r="C257">
        <v>2</v>
      </c>
      <c r="D257">
        <v>2</v>
      </c>
      <c r="E257">
        <v>0</v>
      </c>
      <c r="F257">
        <v>0</v>
      </c>
      <c r="G257">
        <v>1</v>
      </c>
    </row>
    <row r="258" spans="2:7" x14ac:dyDescent="0.25">
      <c r="B258" t="s">
        <v>185</v>
      </c>
      <c r="C258">
        <v>18</v>
      </c>
      <c r="D258">
        <v>17</v>
      </c>
      <c r="E258">
        <v>2</v>
      </c>
      <c r="F258">
        <v>0</v>
      </c>
      <c r="G258">
        <v>14</v>
      </c>
    </row>
    <row r="259" spans="2:7" x14ac:dyDescent="0.25">
      <c r="B259" t="s">
        <v>906</v>
      </c>
      <c r="C259">
        <v>2</v>
      </c>
      <c r="D259">
        <v>2</v>
      </c>
      <c r="E259">
        <v>0</v>
      </c>
      <c r="F259">
        <v>0</v>
      </c>
      <c r="G259">
        <v>1</v>
      </c>
    </row>
    <row r="260" spans="2:7" x14ac:dyDescent="0.25">
      <c r="B260" t="s">
        <v>909</v>
      </c>
      <c r="C260">
        <v>7</v>
      </c>
      <c r="D260">
        <v>7</v>
      </c>
      <c r="E260">
        <v>0</v>
      </c>
      <c r="F260">
        <v>0</v>
      </c>
      <c r="G260">
        <v>6</v>
      </c>
    </row>
    <row r="261" spans="2:7" x14ac:dyDescent="0.25">
      <c r="B261" t="s">
        <v>189</v>
      </c>
      <c r="C261">
        <v>1</v>
      </c>
      <c r="D261">
        <v>1</v>
      </c>
      <c r="E261">
        <v>1</v>
      </c>
      <c r="F261">
        <v>0</v>
      </c>
      <c r="G261">
        <v>1</v>
      </c>
    </row>
    <row r="262" spans="2:7" x14ac:dyDescent="0.25">
      <c r="B262" t="s">
        <v>917</v>
      </c>
      <c r="C262">
        <v>1</v>
      </c>
      <c r="D262">
        <v>1</v>
      </c>
      <c r="E262">
        <v>0</v>
      </c>
      <c r="F262">
        <v>0</v>
      </c>
      <c r="G262">
        <v>1</v>
      </c>
    </row>
    <row r="263" spans="2:7" x14ac:dyDescent="0.25">
      <c r="B263" t="s">
        <v>919</v>
      </c>
      <c r="C263">
        <v>1</v>
      </c>
      <c r="D263">
        <v>1</v>
      </c>
      <c r="E263">
        <v>0</v>
      </c>
      <c r="F263">
        <v>0</v>
      </c>
      <c r="G263">
        <v>0</v>
      </c>
    </row>
    <row r="264" spans="2:7" x14ac:dyDescent="0.25">
      <c r="B264" t="s">
        <v>191</v>
      </c>
      <c r="C264">
        <v>7</v>
      </c>
      <c r="D264">
        <v>7</v>
      </c>
      <c r="E264">
        <v>2</v>
      </c>
      <c r="F264">
        <v>0</v>
      </c>
      <c r="G264">
        <v>3</v>
      </c>
    </row>
    <row r="265" spans="2:7" x14ac:dyDescent="0.25">
      <c r="B265" t="s">
        <v>925</v>
      </c>
      <c r="C265">
        <v>1</v>
      </c>
      <c r="D265">
        <v>1</v>
      </c>
      <c r="E265">
        <v>0</v>
      </c>
      <c r="F265">
        <v>0</v>
      </c>
      <c r="G265">
        <v>0</v>
      </c>
    </row>
    <row r="266" spans="2:7" x14ac:dyDescent="0.25">
      <c r="B266" t="s">
        <v>927</v>
      </c>
      <c r="C266">
        <v>4</v>
      </c>
      <c r="D266">
        <v>4</v>
      </c>
      <c r="E266">
        <v>0</v>
      </c>
      <c r="F266">
        <v>0</v>
      </c>
      <c r="G266">
        <v>2</v>
      </c>
    </row>
    <row r="267" spans="2:7" x14ac:dyDescent="0.25">
      <c r="B267" t="s">
        <v>194</v>
      </c>
      <c r="C267">
        <v>12</v>
      </c>
      <c r="D267">
        <v>11</v>
      </c>
      <c r="E267">
        <v>2</v>
      </c>
      <c r="F267">
        <v>1</v>
      </c>
      <c r="G267">
        <v>7</v>
      </c>
    </row>
    <row r="268" spans="2:7" x14ac:dyDescent="0.25">
      <c r="B268" t="s">
        <v>940</v>
      </c>
      <c r="C268">
        <v>4</v>
      </c>
      <c r="D268">
        <v>4</v>
      </c>
      <c r="E268">
        <v>0</v>
      </c>
      <c r="F268">
        <v>0</v>
      </c>
      <c r="G268">
        <v>4</v>
      </c>
    </row>
    <row r="269" spans="2:7" x14ac:dyDescent="0.25">
      <c r="B269" t="s">
        <v>197</v>
      </c>
      <c r="C269">
        <v>6</v>
      </c>
      <c r="D269">
        <v>6</v>
      </c>
      <c r="E269">
        <v>2</v>
      </c>
      <c r="F269">
        <v>0</v>
      </c>
      <c r="G269">
        <v>4</v>
      </c>
    </row>
    <row r="270" spans="2:7" x14ac:dyDescent="0.25">
      <c r="B270" t="s">
        <v>199</v>
      </c>
      <c r="C270">
        <v>9</v>
      </c>
      <c r="D270">
        <v>8</v>
      </c>
      <c r="E270">
        <v>0</v>
      </c>
      <c r="F270">
        <v>1</v>
      </c>
      <c r="G270">
        <v>8</v>
      </c>
    </row>
    <row r="271" spans="2:7" x14ac:dyDescent="0.25">
      <c r="B271" t="s">
        <v>201</v>
      </c>
      <c r="C271">
        <v>4</v>
      </c>
      <c r="D271">
        <v>3</v>
      </c>
      <c r="E271">
        <v>1</v>
      </c>
      <c r="F271">
        <v>0</v>
      </c>
      <c r="G271">
        <v>1</v>
      </c>
    </row>
    <row r="272" spans="2:7" x14ac:dyDescent="0.25">
      <c r="B272" t="s">
        <v>203</v>
      </c>
      <c r="C272">
        <v>10</v>
      </c>
      <c r="D272">
        <v>10</v>
      </c>
      <c r="E272">
        <v>0</v>
      </c>
      <c r="F272">
        <v>1</v>
      </c>
      <c r="G272">
        <v>8</v>
      </c>
    </row>
    <row r="273" spans="2:7" x14ac:dyDescent="0.25">
      <c r="B273" t="s">
        <v>966</v>
      </c>
      <c r="C273">
        <v>10</v>
      </c>
      <c r="D273">
        <v>10</v>
      </c>
      <c r="E273">
        <v>0</v>
      </c>
      <c r="F273">
        <v>0</v>
      </c>
      <c r="G273">
        <v>4</v>
      </c>
    </row>
    <row r="274" spans="2:7" x14ac:dyDescent="0.25">
      <c r="B274" t="s">
        <v>44</v>
      </c>
      <c r="C274">
        <v>19</v>
      </c>
      <c r="D274">
        <v>19</v>
      </c>
      <c r="E274">
        <v>9</v>
      </c>
      <c r="F274">
        <v>1</v>
      </c>
      <c r="G274">
        <v>12</v>
      </c>
    </row>
    <row r="275" spans="2:7" x14ac:dyDescent="0.25">
      <c r="B275" t="s">
        <v>987</v>
      </c>
      <c r="C275">
        <v>5</v>
      </c>
      <c r="D275">
        <v>5</v>
      </c>
      <c r="E275">
        <v>0</v>
      </c>
      <c r="F275">
        <v>0</v>
      </c>
      <c r="G275">
        <v>2</v>
      </c>
    </row>
    <row r="276" spans="2:7" x14ac:dyDescent="0.25">
      <c r="B276" t="s">
        <v>213</v>
      </c>
      <c r="C276">
        <v>4</v>
      </c>
      <c r="D276">
        <v>4</v>
      </c>
      <c r="E276">
        <v>1</v>
      </c>
      <c r="F276">
        <v>0</v>
      </c>
      <c r="G276">
        <v>4</v>
      </c>
    </row>
    <row r="277" spans="2:7" x14ac:dyDescent="0.25">
      <c r="B277" t="s">
        <v>215</v>
      </c>
      <c r="C277">
        <v>7</v>
      </c>
      <c r="D277">
        <v>7</v>
      </c>
      <c r="E277">
        <v>2</v>
      </c>
      <c r="F277">
        <v>0</v>
      </c>
      <c r="G277">
        <v>4</v>
      </c>
    </row>
    <row r="278" spans="2:7" x14ac:dyDescent="0.25">
      <c r="B278" t="s">
        <v>218</v>
      </c>
      <c r="C278">
        <v>7</v>
      </c>
      <c r="D278">
        <v>7</v>
      </c>
      <c r="E278">
        <v>1</v>
      </c>
      <c r="F278">
        <v>0</v>
      </c>
      <c r="G278">
        <v>3</v>
      </c>
    </row>
    <row r="279" spans="2:7" x14ac:dyDescent="0.25">
      <c r="B279" t="s">
        <v>1007</v>
      </c>
      <c r="C279">
        <v>1</v>
      </c>
      <c r="D279">
        <v>1</v>
      </c>
      <c r="E279">
        <v>0</v>
      </c>
      <c r="F279">
        <v>0</v>
      </c>
      <c r="G279">
        <v>1</v>
      </c>
    </row>
    <row r="280" spans="2:7" x14ac:dyDescent="0.25">
      <c r="B280" t="s">
        <v>220</v>
      </c>
      <c r="C280">
        <v>47</v>
      </c>
      <c r="D280">
        <v>46</v>
      </c>
      <c r="E280">
        <v>4</v>
      </c>
      <c r="F280">
        <v>0</v>
      </c>
      <c r="G280">
        <v>24</v>
      </c>
    </row>
    <row r="281" spans="2:7" x14ac:dyDescent="0.25">
      <c r="B281" t="s">
        <v>1050</v>
      </c>
      <c r="C281">
        <v>1</v>
      </c>
      <c r="D281">
        <v>1</v>
      </c>
      <c r="E281">
        <v>0</v>
      </c>
      <c r="F281">
        <v>0</v>
      </c>
      <c r="G281">
        <v>1</v>
      </c>
    </row>
    <row r="282" spans="2:7" x14ac:dyDescent="0.25">
      <c r="B282" t="s">
        <v>1052</v>
      </c>
      <c r="C282">
        <v>3</v>
      </c>
      <c r="D282">
        <v>3</v>
      </c>
      <c r="E282">
        <v>0</v>
      </c>
      <c r="F282">
        <v>0</v>
      </c>
      <c r="G282">
        <v>3</v>
      </c>
    </row>
    <row r="283" spans="2:7" x14ac:dyDescent="0.25">
      <c r="B283" t="s">
        <v>224</v>
      </c>
      <c r="C283">
        <v>15</v>
      </c>
      <c r="D283">
        <v>15</v>
      </c>
      <c r="E283">
        <v>2</v>
      </c>
      <c r="F283">
        <v>0</v>
      </c>
      <c r="G283">
        <v>9</v>
      </c>
    </row>
    <row r="284" spans="2:7" x14ac:dyDescent="0.25">
      <c r="B284" t="s">
        <v>46</v>
      </c>
      <c r="C284">
        <v>24</v>
      </c>
      <c r="D284">
        <v>23</v>
      </c>
      <c r="E284">
        <v>3</v>
      </c>
      <c r="F284">
        <v>3</v>
      </c>
      <c r="G284">
        <v>18</v>
      </c>
    </row>
    <row r="285" spans="2:7" x14ac:dyDescent="0.25">
      <c r="B285" t="s">
        <v>231</v>
      </c>
      <c r="C285">
        <v>9</v>
      </c>
      <c r="D285">
        <v>9</v>
      </c>
      <c r="E285">
        <v>0</v>
      </c>
      <c r="F285">
        <v>0</v>
      </c>
      <c r="G285">
        <v>6</v>
      </c>
    </row>
    <row r="286" spans="2:7" x14ac:dyDescent="0.25">
      <c r="B286" t="s">
        <v>233</v>
      </c>
      <c r="C286">
        <v>17</v>
      </c>
      <c r="D286">
        <v>17</v>
      </c>
      <c r="E286">
        <v>3</v>
      </c>
      <c r="F286">
        <v>0</v>
      </c>
      <c r="G286">
        <v>10</v>
      </c>
    </row>
    <row r="287" spans="2:7" x14ac:dyDescent="0.25">
      <c r="B287" t="s">
        <v>1107</v>
      </c>
      <c r="C287">
        <v>1</v>
      </c>
      <c r="D287">
        <v>1</v>
      </c>
      <c r="E287">
        <v>0</v>
      </c>
      <c r="F287">
        <v>0</v>
      </c>
      <c r="G287">
        <v>1</v>
      </c>
    </row>
    <row r="288" spans="2:7" x14ac:dyDescent="0.25">
      <c r="B288" t="s">
        <v>237</v>
      </c>
      <c r="C288">
        <v>28</v>
      </c>
      <c r="D288">
        <v>27</v>
      </c>
      <c r="E288">
        <v>2</v>
      </c>
      <c r="F288">
        <v>0</v>
      </c>
      <c r="G288">
        <v>15</v>
      </c>
    </row>
    <row r="289" spans="2:7" x14ac:dyDescent="0.25">
      <c r="B289" t="s">
        <v>1135</v>
      </c>
      <c r="C289">
        <v>1</v>
      </c>
      <c r="D289">
        <v>1</v>
      </c>
      <c r="E289">
        <v>0</v>
      </c>
      <c r="F289">
        <v>0</v>
      </c>
      <c r="G289">
        <v>1</v>
      </c>
    </row>
    <row r="290" spans="2:7" x14ac:dyDescent="0.25">
      <c r="B290" t="s">
        <v>240</v>
      </c>
      <c r="C290">
        <v>4</v>
      </c>
      <c r="D290">
        <v>4</v>
      </c>
      <c r="E290">
        <v>1</v>
      </c>
      <c r="F290">
        <v>0</v>
      </c>
      <c r="G290">
        <v>2</v>
      </c>
    </row>
    <row r="291" spans="2:7" x14ac:dyDescent="0.25">
      <c r="B291" t="s">
        <v>1763</v>
      </c>
      <c r="C291">
        <v>1</v>
      </c>
      <c r="D291">
        <v>1</v>
      </c>
      <c r="E291">
        <v>0</v>
      </c>
      <c r="F291">
        <v>0</v>
      </c>
      <c r="G291">
        <v>0</v>
      </c>
    </row>
    <row r="292" spans="2:7" x14ac:dyDescent="0.25">
      <c r="B292" t="s">
        <v>1140</v>
      </c>
      <c r="C292">
        <v>1</v>
      </c>
      <c r="D292">
        <v>1</v>
      </c>
      <c r="E292">
        <v>0</v>
      </c>
      <c r="F292">
        <v>0</v>
      </c>
      <c r="G292">
        <v>1</v>
      </c>
    </row>
    <row r="293" spans="2:7" x14ac:dyDescent="0.25">
      <c r="B293" t="s">
        <v>242</v>
      </c>
      <c r="C293">
        <v>11</v>
      </c>
      <c r="D293">
        <v>11</v>
      </c>
      <c r="E293">
        <v>2</v>
      </c>
      <c r="F293">
        <v>0</v>
      </c>
      <c r="G293">
        <v>7</v>
      </c>
    </row>
    <row r="294" spans="2:7" x14ac:dyDescent="0.25">
      <c r="B294" t="s">
        <v>1152</v>
      </c>
      <c r="C294">
        <v>4</v>
      </c>
      <c r="D294">
        <v>4</v>
      </c>
      <c r="E294">
        <v>0</v>
      </c>
      <c r="F294">
        <v>0</v>
      </c>
      <c r="G294">
        <v>2</v>
      </c>
    </row>
    <row r="295" spans="2:7" x14ac:dyDescent="0.25">
      <c r="B295" t="s">
        <v>1157</v>
      </c>
      <c r="C295">
        <v>2</v>
      </c>
      <c r="D295">
        <v>2</v>
      </c>
      <c r="E295">
        <v>0</v>
      </c>
      <c r="F295">
        <v>0</v>
      </c>
      <c r="G295">
        <v>1</v>
      </c>
    </row>
    <row r="296" spans="2:7" x14ac:dyDescent="0.25">
      <c r="B296" t="s">
        <v>1160</v>
      </c>
      <c r="C296">
        <v>7</v>
      </c>
      <c r="D296">
        <v>7</v>
      </c>
      <c r="E296">
        <v>0</v>
      </c>
      <c r="F296">
        <v>0</v>
      </c>
      <c r="G296">
        <v>4</v>
      </c>
    </row>
    <row r="297" spans="2:7" x14ac:dyDescent="0.25">
      <c r="B297" t="s">
        <v>48</v>
      </c>
      <c r="C297">
        <v>3</v>
      </c>
      <c r="D297">
        <v>3</v>
      </c>
      <c r="E297">
        <v>1</v>
      </c>
      <c r="F297">
        <v>1</v>
      </c>
      <c r="G297">
        <v>1</v>
      </c>
    </row>
    <row r="298" spans="2:7" x14ac:dyDescent="0.25">
      <c r="B298" t="s">
        <v>1170</v>
      </c>
      <c r="C298">
        <v>3</v>
      </c>
      <c r="D298">
        <v>3</v>
      </c>
      <c r="E298">
        <v>0</v>
      </c>
      <c r="F298">
        <v>0</v>
      </c>
      <c r="G298">
        <v>2</v>
      </c>
    </row>
    <row r="299" spans="2:7" x14ac:dyDescent="0.25">
      <c r="B299" t="s">
        <v>244</v>
      </c>
      <c r="C299">
        <v>4</v>
      </c>
      <c r="D299">
        <v>3</v>
      </c>
      <c r="E299">
        <v>1</v>
      </c>
      <c r="F299">
        <v>0</v>
      </c>
      <c r="G299">
        <v>2</v>
      </c>
    </row>
    <row r="300" spans="2:7" x14ac:dyDescent="0.25">
      <c r="B300" t="s">
        <v>1177</v>
      </c>
      <c r="C300">
        <v>1</v>
      </c>
      <c r="D300">
        <v>0</v>
      </c>
      <c r="E300">
        <v>0</v>
      </c>
      <c r="F300">
        <v>0</v>
      </c>
      <c r="G300">
        <v>1</v>
      </c>
    </row>
    <row r="301" spans="2:7" x14ac:dyDescent="0.25">
      <c r="B301" t="s">
        <v>246</v>
      </c>
      <c r="C301">
        <v>17</v>
      </c>
      <c r="D301">
        <v>16</v>
      </c>
      <c r="E301">
        <v>3</v>
      </c>
      <c r="F301">
        <v>1</v>
      </c>
      <c r="G301">
        <v>12</v>
      </c>
    </row>
    <row r="302" spans="2:7" x14ac:dyDescent="0.25">
      <c r="B302" t="s">
        <v>1190</v>
      </c>
      <c r="C302">
        <v>4</v>
      </c>
      <c r="D302">
        <v>4</v>
      </c>
      <c r="E302">
        <v>0</v>
      </c>
      <c r="F302">
        <v>0</v>
      </c>
      <c r="G302">
        <v>3</v>
      </c>
    </row>
    <row r="303" spans="2:7" x14ac:dyDescent="0.25">
      <c r="B303" t="s">
        <v>252</v>
      </c>
      <c r="C303">
        <v>7</v>
      </c>
      <c r="D303">
        <v>7</v>
      </c>
      <c r="E303">
        <v>1</v>
      </c>
      <c r="F303">
        <v>0</v>
      </c>
      <c r="G303">
        <v>4</v>
      </c>
    </row>
    <row r="304" spans="2:7" x14ac:dyDescent="0.25">
      <c r="B304" t="s">
        <v>254</v>
      </c>
      <c r="C304">
        <v>6</v>
      </c>
      <c r="D304">
        <v>6</v>
      </c>
      <c r="E304">
        <v>1</v>
      </c>
      <c r="F304">
        <v>0</v>
      </c>
      <c r="G304">
        <v>5</v>
      </c>
    </row>
    <row r="305" spans="2:7" x14ac:dyDescent="0.25">
      <c r="B305" t="s">
        <v>50</v>
      </c>
      <c r="C305">
        <v>5</v>
      </c>
      <c r="D305">
        <v>5</v>
      </c>
      <c r="E305">
        <v>1</v>
      </c>
      <c r="F305">
        <v>1</v>
      </c>
      <c r="G305">
        <v>1</v>
      </c>
    </row>
    <row r="306" spans="2:7" x14ac:dyDescent="0.25">
      <c r="B306" t="s">
        <v>256</v>
      </c>
      <c r="C306">
        <v>9</v>
      </c>
      <c r="D306">
        <v>9</v>
      </c>
      <c r="E306">
        <v>3</v>
      </c>
      <c r="F306">
        <v>0</v>
      </c>
      <c r="G306">
        <v>6</v>
      </c>
    </row>
    <row r="307" spans="2:7" x14ac:dyDescent="0.25">
      <c r="B307" t="s">
        <v>1213</v>
      </c>
      <c r="C307">
        <v>5</v>
      </c>
      <c r="D307">
        <v>5</v>
      </c>
      <c r="E307">
        <v>0</v>
      </c>
      <c r="F307">
        <v>0</v>
      </c>
      <c r="G307">
        <v>1</v>
      </c>
    </row>
    <row r="308" spans="2:7" x14ac:dyDescent="0.25">
      <c r="B308" t="s">
        <v>260</v>
      </c>
      <c r="C308">
        <v>1</v>
      </c>
      <c r="D308">
        <v>1</v>
      </c>
      <c r="E308">
        <v>0</v>
      </c>
      <c r="F308">
        <v>1</v>
      </c>
      <c r="G308">
        <v>0</v>
      </c>
    </row>
    <row r="309" spans="2:7" x14ac:dyDescent="0.25">
      <c r="B309" t="s">
        <v>262</v>
      </c>
      <c r="C309">
        <v>4</v>
      </c>
      <c r="D309">
        <v>4</v>
      </c>
      <c r="E309">
        <v>0</v>
      </c>
      <c r="F309">
        <v>0</v>
      </c>
      <c r="G309">
        <v>2</v>
      </c>
    </row>
    <row r="310" spans="2:7" x14ac:dyDescent="0.25">
      <c r="B310" t="s">
        <v>1220</v>
      </c>
      <c r="C310">
        <v>8</v>
      </c>
      <c r="D310">
        <v>7</v>
      </c>
      <c r="E310">
        <v>0</v>
      </c>
      <c r="F310">
        <v>0</v>
      </c>
      <c r="G310">
        <v>5</v>
      </c>
    </row>
    <row r="311" spans="2:7" x14ac:dyDescent="0.25">
      <c r="B311" t="s">
        <v>1229</v>
      </c>
      <c r="C311">
        <v>1</v>
      </c>
      <c r="D311">
        <v>1</v>
      </c>
      <c r="E311">
        <v>0</v>
      </c>
      <c r="F311">
        <v>0</v>
      </c>
      <c r="G311">
        <v>0</v>
      </c>
    </row>
    <row r="312" spans="2:7" x14ac:dyDescent="0.25">
      <c r="B312" t="s">
        <v>264</v>
      </c>
      <c r="C312">
        <v>5</v>
      </c>
      <c r="D312">
        <v>5</v>
      </c>
      <c r="E312">
        <v>2</v>
      </c>
      <c r="F312">
        <v>0</v>
      </c>
      <c r="G312">
        <v>2</v>
      </c>
    </row>
    <row r="313" spans="2:7" x14ac:dyDescent="0.25">
      <c r="B313" t="s">
        <v>1235</v>
      </c>
      <c r="C313">
        <v>3</v>
      </c>
      <c r="D313">
        <v>3</v>
      </c>
      <c r="E313">
        <v>0</v>
      </c>
      <c r="F313">
        <v>0</v>
      </c>
      <c r="G313">
        <v>3</v>
      </c>
    </row>
    <row r="314" spans="2:7" x14ac:dyDescent="0.25">
      <c r="B314" t="s">
        <v>1239</v>
      </c>
      <c r="C314">
        <v>2</v>
      </c>
      <c r="D314">
        <v>2</v>
      </c>
      <c r="E314">
        <v>0</v>
      </c>
      <c r="F314">
        <v>0</v>
      </c>
      <c r="G314">
        <v>1</v>
      </c>
    </row>
    <row r="315" spans="2:7" x14ac:dyDescent="0.25">
      <c r="B315" t="s">
        <v>1242</v>
      </c>
      <c r="C315">
        <v>6</v>
      </c>
      <c r="D315">
        <v>5</v>
      </c>
      <c r="E315">
        <v>0</v>
      </c>
      <c r="F315">
        <v>0</v>
      </c>
      <c r="G315">
        <v>4</v>
      </c>
    </row>
    <row r="316" spans="2:7" x14ac:dyDescent="0.25">
      <c r="B316" t="s">
        <v>266</v>
      </c>
      <c r="C316">
        <v>1</v>
      </c>
      <c r="D316">
        <v>1</v>
      </c>
      <c r="E316">
        <v>1</v>
      </c>
      <c r="F316">
        <v>0</v>
      </c>
      <c r="G316">
        <v>0</v>
      </c>
    </row>
    <row r="317" spans="2:7" x14ac:dyDescent="0.25">
      <c r="B317" t="s">
        <v>1249</v>
      </c>
      <c r="C317">
        <v>1</v>
      </c>
      <c r="D317">
        <v>1</v>
      </c>
      <c r="E317">
        <v>0</v>
      </c>
      <c r="F317">
        <v>0</v>
      </c>
      <c r="G317">
        <v>1</v>
      </c>
    </row>
    <row r="318" spans="2:7" x14ac:dyDescent="0.25">
      <c r="B318" t="s">
        <v>1251</v>
      </c>
      <c r="C318">
        <v>2</v>
      </c>
      <c r="D318">
        <v>2</v>
      </c>
      <c r="E318">
        <v>0</v>
      </c>
      <c r="F318">
        <v>0</v>
      </c>
      <c r="G318">
        <v>2</v>
      </c>
    </row>
    <row r="319" spans="2:7" x14ac:dyDescent="0.25">
      <c r="B319" t="s">
        <v>1254</v>
      </c>
      <c r="C319">
        <v>2</v>
      </c>
      <c r="D319">
        <v>2</v>
      </c>
      <c r="E319">
        <v>0</v>
      </c>
      <c r="F319">
        <v>0</v>
      </c>
      <c r="G319">
        <v>2</v>
      </c>
    </row>
    <row r="320" spans="2:7" x14ac:dyDescent="0.25">
      <c r="B320" t="s">
        <v>1257</v>
      </c>
      <c r="C320">
        <v>1</v>
      </c>
      <c r="D320">
        <v>1</v>
      </c>
      <c r="E320">
        <v>0</v>
      </c>
      <c r="F320">
        <v>0</v>
      </c>
      <c r="G320">
        <v>0</v>
      </c>
    </row>
    <row r="321" spans="2:7" x14ac:dyDescent="0.25">
      <c r="B321" t="s">
        <v>1259</v>
      </c>
      <c r="C321">
        <v>1</v>
      </c>
      <c r="D321">
        <v>1</v>
      </c>
      <c r="E321">
        <v>0</v>
      </c>
      <c r="F321">
        <v>0</v>
      </c>
      <c r="G321">
        <v>1</v>
      </c>
    </row>
    <row r="322" spans="2:7" x14ac:dyDescent="0.25">
      <c r="B322" t="s">
        <v>1261</v>
      </c>
      <c r="C322">
        <v>2</v>
      </c>
      <c r="D322">
        <v>2</v>
      </c>
      <c r="E322">
        <v>0</v>
      </c>
      <c r="F322">
        <v>0</v>
      </c>
      <c r="G322">
        <v>2</v>
      </c>
    </row>
    <row r="323" spans="2:7" x14ac:dyDescent="0.25">
      <c r="B323" t="s">
        <v>1264</v>
      </c>
      <c r="C323">
        <v>1</v>
      </c>
      <c r="D323">
        <v>1</v>
      </c>
      <c r="E323">
        <v>0</v>
      </c>
      <c r="F323">
        <v>0</v>
      </c>
      <c r="G323">
        <v>1</v>
      </c>
    </row>
    <row r="324" spans="2:7" x14ac:dyDescent="0.25">
      <c r="B324" t="s">
        <v>268</v>
      </c>
      <c r="C324">
        <v>1</v>
      </c>
      <c r="D324">
        <v>1</v>
      </c>
      <c r="E324">
        <v>1</v>
      </c>
      <c r="F324">
        <v>0</v>
      </c>
      <c r="G324">
        <v>0</v>
      </c>
    </row>
    <row r="325" spans="2:7" x14ac:dyDescent="0.25">
      <c r="B325" t="s">
        <v>52</v>
      </c>
      <c r="C325">
        <v>2</v>
      </c>
      <c r="D325">
        <v>1</v>
      </c>
      <c r="E325">
        <v>0</v>
      </c>
      <c r="F325">
        <v>1</v>
      </c>
      <c r="G325">
        <v>2</v>
      </c>
    </row>
    <row r="326" spans="2:7" x14ac:dyDescent="0.25">
      <c r="B326" t="s">
        <v>270</v>
      </c>
      <c r="C326">
        <v>7</v>
      </c>
      <c r="D326">
        <v>7</v>
      </c>
      <c r="E326">
        <v>1</v>
      </c>
      <c r="F326">
        <v>0</v>
      </c>
      <c r="G326">
        <v>2</v>
      </c>
    </row>
    <row r="327" spans="2:7" x14ac:dyDescent="0.25">
      <c r="B327" t="s">
        <v>1273</v>
      </c>
      <c r="C327">
        <v>1</v>
      </c>
      <c r="D327">
        <v>1</v>
      </c>
      <c r="E327">
        <v>0</v>
      </c>
      <c r="F327">
        <v>0</v>
      </c>
      <c r="G327">
        <v>1</v>
      </c>
    </row>
    <row r="328" spans="2:7" x14ac:dyDescent="0.25">
      <c r="B328" t="s">
        <v>1275</v>
      </c>
      <c r="C328">
        <v>4</v>
      </c>
      <c r="D328">
        <v>3</v>
      </c>
      <c r="E328">
        <v>0</v>
      </c>
      <c r="F328">
        <v>0</v>
      </c>
      <c r="G328">
        <v>1</v>
      </c>
    </row>
    <row r="329" spans="2:7" x14ac:dyDescent="0.25">
      <c r="B329" t="s">
        <v>1278</v>
      </c>
      <c r="C329">
        <v>2</v>
      </c>
      <c r="D329">
        <v>2</v>
      </c>
      <c r="E329">
        <v>0</v>
      </c>
      <c r="F329">
        <v>0</v>
      </c>
      <c r="G329">
        <v>1</v>
      </c>
    </row>
    <row r="330" spans="2:7" x14ac:dyDescent="0.25">
      <c r="B330" t="s">
        <v>54</v>
      </c>
      <c r="C330">
        <v>22</v>
      </c>
      <c r="D330">
        <v>22</v>
      </c>
      <c r="E330">
        <v>5</v>
      </c>
      <c r="F330">
        <v>1</v>
      </c>
      <c r="G330">
        <v>12</v>
      </c>
    </row>
    <row r="331" spans="2:7" x14ac:dyDescent="0.25">
      <c r="B331" t="s">
        <v>56</v>
      </c>
      <c r="C331">
        <v>3</v>
      </c>
      <c r="D331">
        <v>3</v>
      </c>
      <c r="E331">
        <v>1</v>
      </c>
      <c r="F331">
        <v>1</v>
      </c>
      <c r="G331">
        <v>3</v>
      </c>
    </row>
    <row r="332" spans="2:7" x14ac:dyDescent="0.25">
      <c r="B332" t="s">
        <v>276</v>
      </c>
      <c r="C332">
        <v>5</v>
      </c>
      <c r="D332">
        <v>5</v>
      </c>
      <c r="E332">
        <v>1</v>
      </c>
      <c r="F332">
        <v>0</v>
      </c>
      <c r="G332">
        <v>4</v>
      </c>
    </row>
    <row r="333" spans="2:7" x14ac:dyDescent="0.25">
      <c r="B333" t="s">
        <v>278</v>
      </c>
      <c r="C333">
        <v>1</v>
      </c>
      <c r="D333">
        <v>1</v>
      </c>
      <c r="E333">
        <v>1</v>
      </c>
      <c r="F333">
        <v>0</v>
      </c>
      <c r="G333">
        <v>1</v>
      </c>
    </row>
    <row r="334" spans="2:7" x14ac:dyDescent="0.25">
      <c r="B334" t="s">
        <v>1303</v>
      </c>
      <c r="C334">
        <v>6</v>
      </c>
      <c r="D334">
        <v>6</v>
      </c>
      <c r="E334">
        <v>1</v>
      </c>
      <c r="F334">
        <v>0</v>
      </c>
      <c r="G334">
        <v>2</v>
      </c>
    </row>
    <row r="335" spans="2:7" x14ac:dyDescent="0.25">
      <c r="B335" t="s">
        <v>280</v>
      </c>
      <c r="C335">
        <v>8</v>
      </c>
      <c r="D335">
        <v>8</v>
      </c>
      <c r="E335">
        <v>2</v>
      </c>
      <c r="F335">
        <v>0</v>
      </c>
      <c r="G335">
        <v>4</v>
      </c>
    </row>
    <row r="336" spans="2:7" x14ac:dyDescent="0.25">
      <c r="B336" t="s">
        <v>58</v>
      </c>
      <c r="C336">
        <v>2</v>
      </c>
      <c r="D336">
        <v>2</v>
      </c>
      <c r="E336">
        <v>1</v>
      </c>
      <c r="F336">
        <v>1</v>
      </c>
      <c r="G336">
        <v>1</v>
      </c>
    </row>
    <row r="337" spans="2:7" x14ac:dyDescent="0.25">
      <c r="B337" t="s">
        <v>1317</v>
      </c>
      <c r="C337">
        <v>4</v>
      </c>
      <c r="D337">
        <v>4</v>
      </c>
      <c r="E337">
        <v>0</v>
      </c>
      <c r="F337">
        <v>0</v>
      </c>
      <c r="G337">
        <v>3</v>
      </c>
    </row>
    <row r="338" spans="2:7" x14ac:dyDescent="0.25">
      <c r="B338" t="s">
        <v>60</v>
      </c>
      <c r="C338">
        <v>7</v>
      </c>
      <c r="D338">
        <v>7</v>
      </c>
      <c r="E338">
        <v>1</v>
      </c>
      <c r="F338">
        <v>1</v>
      </c>
      <c r="G338">
        <v>4</v>
      </c>
    </row>
    <row r="339" spans="2:7" x14ac:dyDescent="0.25">
      <c r="B339" t="s">
        <v>1327</v>
      </c>
      <c r="C339">
        <v>1</v>
      </c>
      <c r="D339">
        <v>1</v>
      </c>
      <c r="E339">
        <v>0</v>
      </c>
      <c r="F339">
        <v>0</v>
      </c>
      <c r="G339">
        <v>1</v>
      </c>
    </row>
    <row r="340" spans="2:7" x14ac:dyDescent="0.25">
      <c r="B340" t="s">
        <v>1329</v>
      </c>
      <c r="C340">
        <v>2</v>
      </c>
      <c r="D340">
        <v>2</v>
      </c>
      <c r="E340">
        <v>0</v>
      </c>
      <c r="F340">
        <v>0</v>
      </c>
      <c r="G340">
        <v>2</v>
      </c>
    </row>
    <row r="341" spans="2:7" x14ac:dyDescent="0.25">
      <c r="B341" t="s">
        <v>1332</v>
      </c>
      <c r="C341">
        <v>1</v>
      </c>
      <c r="D341">
        <v>1</v>
      </c>
      <c r="E341">
        <v>0</v>
      </c>
      <c r="F341">
        <v>0</v>
      </c>
      <c r="G341">
        <v>1</v>
      </c>
    </row>
    <row r="342" spans="2:7" x14ac:dyDescent="0.25">
      <c r="B342" t="s">
        <v>283</v>
      </c>
      <c r="C342">
        <v>2</v>
      </c>
      <c r="D342">
        <v>2</v>
      </c>
      <c r="E342">
        <v>2</v>
      </c>
      <c r="F342">
        <v>0</v>
      </c>
      <c r="G342">
        <v>1</v>
      </c>
    </row>
    <row r="343" spans="2:7" x14ac:dyDescent="0.25">
      <c r="B343" t="s">
        <v>1334</v>
      </c>
      <c r="C343">
        <v>2</v>
      </c>
      <c r="D343">
        <v>1</v>
      </c>
      <c r="E343">
        <v>0</v>
      </c>
      <c r="F343">
        <v>0</v>
      </c>
      <c r="G343">
        <v>1</v>
      </c>
    </row>
    <row r="344" spans="2:7" x14ac:dyDescent="0.25">
      <c r="B344" t="s">
        <v>1336</v>
      </c>
      <c r="C344">
        <v>2</v>
      </c>
      <c r="D344">
        <v>2</v>
      </c>
      <c r="E344">
        <v>0</v>
      </c>
      <c r="F344">
        <v>0</v>
      </c>
      <c r="G344">
        <v>1</v>
      </c>
    </row>
    <row r="345" spans="2:7" x14ac:dyDescent="0.25">
      <c r="B345" t="s">
        <v>286</v>
      </c>
      <c r="C345">
        <v>7</v>
      </c>
      <c r="D345">
        <v>7</v>
      </c>
      <c r="E345">
        <v>1</v>
      </c>
      <c r="F345">
        <v>0</v>
      </c>
      <c r="G345">
        <v>5</v>
      </c>
    </row>
    <row r="346" spans="2:7" x14ac:dyDescent="0.25">
      <c r="B346" t="s">
        <v>1344</v>
      </c>
      <c r="C346">
        <v>6</v>
      </c>
      <c r="D346">
        <v>6</v>
      </c>
      <c r="E346">
        <v>0</v>
      </c>
      <c r="F346">
        <v>0</v>
      </c>
      <c r="G346">
        <v>5</v>
      </c>
    </row>
    <row r="347" spans="2:7" x14ac:dyDescent="0.25">
      <c r="B347" t="s">
        <v>1351</v>
      </c>
      <c r="C347">
        <v>3</v>
      </c>
      <c r="D347">
        <v>3</v>
      </c>
      <c r="E347">
        <v>0</v>
      </c>
      <c r="F347">
        <v>0</v>
      </c>
      <c r="G347">
        <v>2</v>
      </c>
    </row>
    <row r="348" spans="2:7" x14ac:dyDescent="0.25">
      <c r="B348" t="s">
        <v>288</v>
      </c>
      <c r="C348">
        <v>6</v>
      </c>
      <c r="D348">
        <v>6</v>
      </c>
      <c r="E348">
        <v>2</v>
      </c>
      <c r="F348">
        <v>0</v>
      </c>
      <c r="G348">
        <v>6</v>
      </c>
    </row>
    <row r="349" spans="2:7" x14ac:dyDescent="0.25">
      <c r="B349" t="s">
        <v>1359</v>
      </c>
      <c r="C349">
        <v>6</v>
      </c>
      <c r="D349">
        <v>6</v>
      </c>
      <c r="E349">
        <v>0</v>
      </c>
      <c r="F349">
        <v>0</v>
      </c>
      <c r="G349">
        <v>4</v>
      </c>
    </row>
    <row r="350" spans="2:7" x14ac:dyDescent="0.25">
      <c r="B350" t="s">
        <v>1365</v>
      </c>
      <c r="C350">
        <v>1</v>
      </c>
      <c r="D350">
        <v>1</v>
      </c>
      <c r="E350">
        <v>0</v>
      </c>
      <c r="F350">
        <v>0</v>
      </c>
      <c r="G350">
        <v>1</v>
      </c>
    </row>
    <row r="351" spans="2:7" x14ac:dyDescent="0.25">
      <c r="B351" t="s">
        <v>1367</v>
      </c>
      <c r="C351">
        <v>1</v>
      </c>
      <c r="D351">
        <v>1</v>
      </c>
      <c r="E351">
        <v>0</v>
      </c>
      <c r="F351">
        <v>0</v>
      </c>
      <c r="G351">
        <v>1</v>
      </c>
    </row>
    <row r="352" spans="2:7" x14ac:dyDescent="0.25">
      <c r="B352" t="s">
        <v>1369</v>
      </c>
      <c r="C352">
        <v>3</v>
      </c>
      <c r="D352">
        <v>3</v>
      </c>
      <c r="E352">
        <v>1</v>
      </c>
      <c r="F352">
        <v>0</v>
      </c>
      <c r="G352">
        <v>2</v>
      </c>
    </row>
    <row r="353" spans="2:7" x14ac:dyDescent="0.25">
      <c r="B353" t="s">
        <v>1373</v>
      </c>
      <c r="C353">
        <v>5</v>
      </c>
      <c r="D353">
        <v>5</v>
      </c>
      <c r="E353">
        <v>0</v>
      </c>
      <c r="F353">
        <v>0</v>
      </c>
      <c r="G353">
        <v>4</v>
      </c>
    </row>
    <row r="354" spans="2:7" x14ac:dyDescent="0.25">
      <c r="B354" t="s">
        <v>62</v>
      </c>
      <c r="C354">
        <v>28</v>
      </c>
      <c r="D354">
        <v>27</v>
      </c>
      <c r="E354">
        <v>4</v>
      </c>
      <c r="F354">
        <v>1</v>
      </c>
      <c r="G354">
        <v>18</v>
      </c>
    </row>
    <row r="355" spans="2:7" x14ac:dyDescent="0.25">
      <c r="B355" t="s">
        <v>1400</v>
      </c>
      <c r="C355">
        <v>2</v>
      </c>
      <c r="D355">
        <v>2</v>
      </c>
      <c r="E355">
        <v>0</v>
      </c>
      <c r="F355">
        <v>0</v>
      </c>
      <c r="G355">
        <v>1</v>
      </c>
    </row>
    <row r="356" spans="2:7" x14ac:dyDescent="0.25">
      <c r="B356" t="s">
        <v>294</v>
      </c>
      <c r="C356">
        <v>7</v>
      </c>
      <c r="D356">
        <v>6</v>
      </c>
      <c r="E356">
        <v>1</v>
      </c>
      <c r="F356">
        <v>0</v>
      </c>
      <c r="G356">
        <v>5</v>
      </c>
    </row>
    <row r="357" spans="2:7" x14ac:dyDescent="0.25">
      <c r="B357" t="s">
        <v>1407</v>
      </c>
      <c r="C357">
        <v>2</v>
      </c>
      <c r="D357">
        <v>1</v>
      </c>
      <c r="E357">
        <v>0</v>
      </c>
      <c r="F357">
        <v>0</v>
      </c>
      <c r="G357">
        <v>1</v>
      </c>
    </row>
    <row r="358" spans="2:7" x14ac:dyDescent="0.25">
      <c r="B358" t="s">
        <v>1409</v>
      </c>
      <c r="C358">
        <v>8</v>
      </c>
      <c r="D358">
        <v>7</v>
      </c>
      <c r="E358">
        <v>0</v>
      </c>
      <c r="F358">
        <v>0</v>
      </c>
      <c r="G358">
        <v>5</v>
      </c>
    </row>
    <row r="359" spans="2:7" x14ac:dyDescent="0.25">
      <c r="B359" t="s">
        <v>1417</v>
      </c>
      <c r="C359">
        <v>1</v>
      </c>
      <c r="D359">
        <v>1</v>
      </c>
      <c r="E359">
        <v>0</v>
      </c>
      <c r="F359">
        <v>0</v>
      </c>
      <c r="G359">
        <v>1</v>
      </c>
    </row>
    <row r="360" spans="2:7" x14ac:dyDescent="0.25">
      <c r="B360" t="s">
        <v>1419</v>
      </c>
      <c r="C360">
        <v>4</v>
      </c>
      <c r="D360">
        <v>3</v>
      </c>
      <c r="E360">
        <v>0</v>
      </c>
      <c r="F360">
        <v>0</v>
      </c>
      <c r="G360">
        <v>3</v>
      </c>
    </row>
    <row r="361" spans="2:7" x14ac:dyDescent="0.25">
      <c r="B361" t="s">
        <v>1424</v>
      </c>
      <c r="C361">
        <v>2</v>
      </c>
      <c r="D361">
        <v>2</v>
      </c>
      <c r="E361">
        <v>0</v>
      </c>
      <c r="F361">
        <v>0</v>
      </c>
      <c r="G361">
        <v>1</v>
      </c>
    </row>
    <row r="362" spans="2:7" x14ac:dyDescent="0.25">
      <c r="B362" t="s">
        <v>1427</v>
      </c>
      <c r="C362">
        <v>2</v>
      </c>
      <c r="D362">
        <v>2</v>
      </c>
      <c r="E362">
        <v>0</v>
      </c>
      <c r="F362">
        <v>0</v>
      </c>
      <c r="G362">
        <v>0</v>
      </c>
    </row>
    <row r="363" spans="2:7" x14ac:dyDescent="0.25">
      <c r="B363" t="s">
        <v>1430</v>
      </c>
      <c r="C363">
        <v>1</v>
      </c>
      <c r="D363">
        <v>1</v>
      </c>
      <c r="E363">
        <v>0</v>
      </c>
      <c r="F363">
        <v>0</v>
      </c>
      <c r="G363">
        <v>1</v>
      </c>
    </row>
    <row r="364" spans="2:7" x14ac:dyDescent="0.25">
      <c r="B364" t="s">
        <v>64</v>
      </c>
      <c r="C364">
        <v>38</v>
      </c>
      <c r="D364">
        <v>37</v>
      </c>
      <c r="E364">
        <v>8</v>
      </c>
      <c r="F364">
        <v>2</v>
      </c>
      <c r="G364">
        <v>24</v>
      </c>
    </row>
    <row r="365" spans="2:7" x14ac:dyDescent="0.25">
      <c r="B365" t="s">
        <v>66</v>
      </c>
      <c r="C365">
        <v>64</v>
      </c>
      <c r="D365">
        <v>64</v>
      </c>
      <c r="E365">
        <v>18</v>
      </c>
      <c r="F365">
        <v>4</v>
      </c>
      <c r="G365">
        <v>27</v>
      </c>
    </row>
    <row r="366" spans="2:7" x14ac:dyDescent="0.25">
      <c r="B366" t="s">
        <v>315</v>
      </c>
      <c r="C366">
        <v>6</v>
      </c>
      <c r="D366">
        <v>6</v>
      </c>
      <c r="E366">
        <v>4</v>
      </c>
      <c r="F366">
        <v>0</v>
      </c>
      <c r="G366">
        <v>1</v>
      </c>
    </row>
    <row r="367" spans="2:7" x14ac:dyDescent="0.25">
      <c r="B367" t="s">
        <v>71</v>
      </c>
      <c r="C367">
        <v>5</v>
      </c>
      <c r="D367">
        <v>5</v>
      </c>
      <c r="E367">
        <v>3</v>
      </c>
      <c r="F367">
        <v>1</v>
      </c>
      <c r="G367">
        <v>4</v>
      </c>
    </row>
    <row r="368" spans="2:7" x14ac:dyDescent="0.25">
      <c r="B368" t="s">
        <v>321</v>
      </c>
      <c r="C368">
        <v>30</v>
      </c>
      <c r="D368">
        <v>30</v>
      </c>
      <c r="E368">
        <v>7</v>
      </c>
      <c r="F368">
        <v>0</v>
      </c>
      <c r="G368">
        <v>17</v>
      </c>
    </row>
    <row r="369" spans="2:7" x14ac:dyDescent="0.25">
      <c r="B369" t="s">
        <v>329</v>
      </c>
      <c r="C369">
        <v>10</v>
      </c>
      <c r="D369">
        <v>10</v>
      </c>
      <c r="E369">
        <v>1</v>
      </c>
      <c r="F369">
        <v>0</v>
      </c>
      <c r="G369">
        <v>5</v>
      </c>
    </row>
    <row r="370" spans="2:7" x14ac:dyDescent="0.25">
      <c r="B370" t="s">
        <v>73</v>
      </c>
      <c r="C370">
        <v>3</v>
      </c>
      <c r="D370">
        <v>3</v>
      </c>
      <c r="E370">
        <v>2</v>
      </c>
      <c r="F370">
        <v>0</v>
      </c>
      <c r="G370">
        <v>1</v>
      </c>
    </row>
    <row r="371" spans="2:7" x14ac:dyDescent="0.25">
      <c r="B371" t="s">
        <v>332</v>
      </c>
      <c r="C371">
        <v>10</v>
      </c>
      <c r="D371">
        <v>10</v>
      </c>
      <c r="E371">
        <v>2</v>
      </c>
      <c r="F371">
        <v>0</v>
      </c>
      <c r="G371">
        <v>6</v>
      </c>
    </row>
    <row r="372" spans="2:7" x14ac:dyDescent="0.25">
      <c r="B372" t="s">
        <v>75</v>
      </c>
      <c r="C372">
        <v>160</v>
      </c>
      <c r="D372">
        <v>158</v>
      </c>
      <c r="E372">
        <v>22</v>
      </c>
      <c r="F372">
        <v>6</v>
      </c>
      <c r="G372">
        <v>83</v>
      </c>
    </row>
    <row r="373" spans="2:7" x14ac:dyDescent="0.25">
      <c r="B373" t="s">
        <v>82</v>
      </c>
      <c r="C373">
        <v>19</v>
      </c>
      <c r="D373">
        <v>18</v>
      </c>
      <c r="E373">
        <v>6</v>
      </c>
      <c r="F373">
        <v>1</v>
      </c>
      <c r="G373">
        <v>16</v>
      </c>
    </row>
    <row r="374" spans="2:7" x14ac:dyDescent="0.25">
      <c r="B374" t="s">
        <v>1698</v>
      </c>
      <c r="C374">
        <v>1</v>
      </c>
      <c r="D374">
        <v>1</v>
      </c>
      <c r="E374">
        <v>0</v>
      </c>
      <c r="F374">
        <v>0</v>
      </c>
      <c r="G374">
        <v>1</v>
      </c>
    </row>
    <row r="375" spans="2:7" x14ac:dyDescent="0.25">
      <c r="B375" t="s">
        <v>1700</v>
      </c>
      <c r="C375">
        <v>1</v>
      </c>
      <c r="D375">
        <v>1</v>
      </c>
      <c r="E375">
        <v>0</v>
      </c>
      <c r="F375">
        <v>0</v>
      </c>
      <c r="G375">
        <v>0</v>
      </c>
    </row>
    <row r="376" spans="2:7" x14ac:dyDescent="0.25">
      <c r="B376" t="s">
        <v>359</v>
      </c>
      <c r="C376">
        <v>3</v>
      </c>
      <c r="D376">
        <v>3</v>
      </c>
      <c r="E376">
        <v>2</v>
      </c>
      <c r="F376">
        <v>0</v>
      </c>
      <c r="G376">
        <v>3</v>
      </c>
    </row>
    <row r="377" spans="2:7" x14ac:dyDescent="0.25">
      <c r="B377" t="s">
        <v>362</v>
      </c>
      <c r="C377">
        <v>9</v>
      </c>
      <c r="D377">
        <v>8</v>
      </c>
      <c r="E377">
        <v>1</v>
      </c>
      <c r="F377">
        <v>0</v>
      </c>
      <c r="G377">
        <v>6</v>
      </c>
    </row>
    <row r="378" spans="2:7" x14ac:dyDescent="0.25">
      <c r="B378" t="s">
        <v>1709</v>
      </c>
      <c r="C378">
        <v>3</v>
      </c>
      <c r="D378">
        <v>3</v>
      </c>
      <c r="E378">
        <v>0</v>
      </c>
      <c r="F378">
        <v>0</v>
      </c>
      <c r="G378">
        <v>2</v>
      </c>
    </row>
    <row r="379" spans="2:7" x14ac:dyDescent="0.25">
      <c r="B379" t="s">
        <v>364</v>
      </c>
      <c r="C379">
        <v>4</v>
      </c>
      <c r="D379">
        <v>4</v>
      </c>
      <c r="E379">
        <v>1</v>
      </c>
      <c r="F379">
        <v>0</v>
      </c>
      <c r="G379">
        <v>2</v>
      </c>
    </row>
    <row r="380" spans="2:7" x14ac:dyDescent="0.25">
      <c r="B380" t="s">
        <v>1716</v>
      </c>
      <c r="C380">
        <v>3</v>
      </c>
      <c r="D380">
        <v>3</v>
      </c>
      <c r="E380">
        <v>0</v>
      </c>
      <c r="F380">
        <v>0</v>
      </c>
      <c r="G380">
        <v>2</v>
      </c>
    </row>
    <row r="381" spans="2:7" x14ac:dyDescent="0.25">
      <c r="B381" t="s">
        <v>1720</v>
      </c>
      <c r="C381">
        <v>1</v>
      </c>
      <c r="D381">
        <v>1</v>
      </c>
      <c r="E381">
        <v>0</v>
      </c>
      <c r="F381">
        <v>0</v>
      </c>
      <c r="G381">
        <v>1</v>
      </c>
    </row>
    <row r="382" spans="2:7" x14ac:dyDescent="0.25">
      <c r="B382" t="s">
        <v>366</v>
      </c>
      <c r="C382">
        <v>3</v>
      </c>
      <c r="D382">
        <v>3</v>
      </c>
      <c r="E382">
        <v>1</v>
      </c>
      <c r="F382">
        <v>0</v>
      </c>
      <c r="G382">
        <v>2</v>
      </c>
    </row>
    <row r="383" spans="2:7" x14ac:dyDescent="0.25">
      <c r="B383" t="s">
        <v>368</v>
      </c>
      <c r="C383">
        <v>9</v>
      </c>
      <c r="D383">
        <v>8</v>
      </c>
      <c r="E383">
        <v>1</v>
      </c>
      <c r="F383">
        <v>0</v>
      </c>
      <c r="G383">
        <v>5</v>
      </c>
    </row>
    <row r="384" spans="2:7" x14ac:dyDescent="0.25">
      <c r="B384" t="s">
        <v>1799</v>
      </c>
      <c r="C384">
        <v>1601</v>
      </c>
      <c r="D384">
        <v>1548</v>
      </c>
      <c r="E384">
        <v>257</v>
      </c>
      <c r="F384">
        <v>50</v>
      </c>
      <c r="G384">
        <v>954</v>
      </c>
    </row>
    <row r="385" spans="2:7" x14ac:dyDescent="0.25">
      <c r="B385" t="s">
        <v>1805</v>
      </c>
      <c r="D385" s="4">
        <f>D384/C384</f>
        <v>0.96689569019362898</v>
      </c>
    </row>
    <row r="386" spans="2:7" x14ac:dyDescent="0.25">
      <c r="B386" t="s">
        <v>1806</v>
      </c>
      <c r="E386" s="4">
        <f>E384/C384</f>
        <v>0.16052467207995003</v>
      </c>
    </row>
    <row r="387" spans="2:7" x14ac:dyDescent="0.25">
      <c r="B387" t="s">
        <v>1807</v>
      </c>
      <c r="F387" s="4">
        <f>F384/C384</f>
        <v>3.1230480949406621E-2</v>
      </c>
    </row>
    <row r="388" spans="2:7" x14ac:dyDescent="0.25">
      <c r="B388" t="s">
        <v>1808</v>
      </c>
      <c r="G388" s="4">
        <f>G384/C384</f>
        <v>0.59587757651467832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1FA2-DA36-44CB-9871-99C35E6FF9A2}">
  <dimension ref="A1:L1602"/>
  <sheetViews>
    <sheetView workbookViewId="0">
      <selection activeCell="M2" sqref="M2"/>
    </sheetView>
  </sheetViews>
  <sheetFormatPr defaultRowHeight="15" x14ac:dyDescent="0.25"/>
  <cols>
    <col min="7" max="7" width="16.42578125" customWidth="1"/>
    <col min="8" max="8" width="20" customWidth="1"/>
    <col min="9" max="9" width="23" customWidth="1"/>
    <col min="10" max="10" width="19.5703125" customWidth="1"/>
    <col min="11" max="11" width="15.85546875" customWidth="1"/>
    <col min="12" max="12" width="16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1794</v>
      </c>
      <c r="J1" t="s">
        <v>1795</v>
      </c>
      <c r="K1" t="s">
        <v>1796</v>
      </c>
      <c r="L1" t="s">
        <v>1797</v>
      </c>
    </row>
    <row r="2" spans="1:12" x14ac:dyDescent="0.25">
      <c r="A2" t="s">
        <v>8</v>
      </c>
      <c r="B2" t="s">
        <v>9</v>
      </c>
      <c r="C2">
        <v>6</v>
      </c>
      <c r="D2">
        <v>6</v>
      </c>
      <c r="E2">
        <v>6</v>
      </c>
      <c r="F2">
        <v>6</v>
      </c>
      <c r="G2">
        <v>12</v>
      </c>
      <c r="H2">
        <v>12</v>
      </c>
      <c r="I2">
        <f>IF(C2&gt;0, 1, 0)</f>
        <v>1</v>
      </c>
      <c r="J2">
        <f>IF(E2&gt;0, 1,0)</f>
        <v>1</v>
      </c>
      <c r="K2">
        <f>IF(F2&gt;0, 1, 0)</f>
        <v>1</v>
      </c>
      <c r="L2">
        <f>IF(D2&gt;0, 1, 0)</f>
        <v>1</v>
      </c>
    </row>
    <row r="3" spans="1:12" x14ac:dyDescent="0.25">
      <c r="A3" t="s">
        <v>10</v>
      </c>
      <c r="B3" t="s">
        <v>11</v>
      </c>
      <c r="C3">
        <v>5</v>
      </c>
      <c r="D3">
        <v>4</v>
      </c>
      <c r="E3">
        <v>4.5</v>
      </c>
      <c r="F3">
        <v>4</v>
      </c>
      <c r="G3">
        <v>9</v>
      </c>
      <c r="H3">
        <v>8.5</v>
      </c>
      <c r="I3">
        <f t="shared" ref="I3:I66" si="0">IF(C3&gt;0, 1, 0)</f>
        <v>1</v>
      </c>
      <c r="J3">
        <f t="shared" ref="J3:J66" si="1">IF(E3&gt;0, 1,0)</f>
        <v>1</v>
      </c>
      <c r="K3">
        <f t="shared" ref="K3:K66" si="2">IF(F3&gt;0, 1, 0)</f>
        <v>1</v>
      </c>
      <c r="L3">
        <f t="shared" ref="L3:L66" si="3">IF(D3&gt;0, 1, 0)</f>
        <v>1</v>
      </c>
    </row>
    <row r="4" spans="1:12" x14ac:dyDescent="0.25">
      <c r="A4" t="s">
        <v>12</v>
      </c>
      <c r="B4" t="s">
        <v>13</v>
      </c>
      <c r="C4">
        <v>14</v>
      </c>
      <c r="D4">
        <v>0</v>
      </c>
      <c r="E4">
        <v>8</v>
      </c>
      <c r="F4">
        <v>4</v>
      </c>
      <c r="G4">
        <v>14</v>
      </c>
      <c r="H4">
        <v>12</v>
      </c>
      <c r="I4">
        <f t="shared" si="0"/>
        <v>1</v>
      </c>
      <c r="J4">
        <f t="shared" si="1"/>
        <v>1</v>
      </c>
      <c r="K4">
        <f t="shared" si="2"/>
        <v>1</v>
      </c>
      <c r="L4">
        <f t="shared" si="3"/>
        <v>0</v>
      </c>
    </row>
    <row r="5" spans="1:12" x14ac:dyDescent="0.25">
      <c r="A5" t="s">
        <v>14</v>
      </c>
      <c r="B5" t="s">
        <v>13</v>
      </c>
      <c r="C5">
        <v>14</v>
      </c>
      <c r="D5">
        <v>2</v>
      </c>
      <c r="E5">
        <v>16</v>
      </c>
      <c r="F5">
        <v>4</v>
      </c>
      <c r="G5">
        <v>16</v>
      </c>
      <c r="H5">
        <v>20</v>
      </c>
      <c r="I5">
        <f t="shared" si="0"/>
        <v>1</v>
      </c>
      <c r="J5">
        <f t="shared" si="1"/>
        <v>1</v>
      </c>
      <c r="K5">
        <f t="shared" si="2"/>
        <v>1</v>
      </c>
      <c r="L5">
        <f t="shared" si="3"/>
        <v>1</v>
      </c>
    </row>
    <row r="6" spans="1:12" x14ac:dyDescent="0.25">
      <c r="A6" t="s">
        <v>15</v>
      </c>
      <c r="B6" t="s">
        <v>16</v>
      </c>
      <c r="C6">
        <v>5</v>
      </c>
      <c r="D6">
        <v>7</v>
      </c>
      <c r="E6">
        <v>0</v>
      </c>
      <c r="F6">
        <v>0</v>
      </c>
      <c r="G6">
        <v>12</v>
      </c>
      <c r="H6">
        <v>0</v>
      </c>
      <c r="I6">
        <f t="shared" si="0"/>
        <v>1</v>
      </c>
      <c r="J6">
        <f t="shared" si="1"/>
        <v>0</v>
      </c>
      <c r="K6">
        <f t="shared" si="2"/>
        <v>0</v>
      </c>
      <c r="L6">
        <f t="shared" si="3"/>
        <v>1</v>
      </c>
    </row>
    <row r="7" spans="1:12" x14ac:dyDescent="0.25">
      <c r="A7" t="s">
        <v>17</v>
      </c>
      <c r="B7" t="s">
        <v>18</v>
      </c>
      <c r="C7">
        <v>20.5</v>
      </c>
      <c r="D7">
        <v>5</v>
      </c>
      <c r="E7">
        <v>21</v>
      </c>
      <c r="F7">
        <v>5</v>
      </c>
      <c r="G7">
        <v>25.5</v>
      </c>
      <c r="H7">
        <v>26</v>
      </c>
      <c r="I7">
        <f t="shared" si="0"/>
        <v>1</v>
      </c>
      <c r="J7">
        <f t="shared" si="1"/>
        <v>1</v>
      </c>
      <c r="K7">
        <f t="shared" si="2"/>
        <v>1</v>
      </c>
      <c r="L7">
        <f t="shared" si="3"/>
        <v>1</v>
      </c>
    </row>
    <row r="8" spans="1:12" x14ac:dyDescent="0.25">
      <c r="A8" t="s">
        <v>19</v>
      </c>
      <c r="B8" t="s">
        <v>18</v>
      </c>
      <c r="C8">
        <v>8</v>
      </c>
      <c r="D8">
        <v>12</v>
      </c>
      <c r="E8">
        <v>1</v>
      </c>
      <c r="F8">
        <v>12</v>
      </c>
      <c r="G8">
        <v>20</v>
      </c>
      <c r="H8">
        <v>13</v>
      </c>
      <c r="I8">
        <f t="shared" si="0"/>
        <v>1</v>
      </c>
      <c r="J8">
        <f t="shared" si="1"/>
        <v>1</v>
      </c>
      <c r="K8">
        <f t="shared" si="2"/>
        <v>1</v>
      </c>
      <c r="L8">
        <f t="shared" si="3"/>
        <v>1</v>
      </c>
    </row>
    <row r="9" spans="1:12" x14ac:dyDescent="0.25">
      <c r="A9" t="s">
        <v>20</v>
      </c>
      <c r="B9" t="s">
        <v>21</v>
      </c>
      <c r="C9">
        <v>6</v>
      </c>
      <c r="D9">
        <v>6</v>
      </c>
      <c r="E9">
        <v>2</v>
      </c>
      <c r="F9">
        <v>6</v>
      </c>
      <c r="G9">
        <v>12</v>
      </c>
      <c r="H9">
        <v>8</v>
      </c>
      <c r="I9">
        <f t="shared" si="0"/>
        <v>1</v>
      </c>
      <c r="J9">
        <f t="shared" si="1"/>
        <v>1</v>
      </c>
      <c r="K9">
        <f t="shared" si="2"/>
        <v>1</v>
      </c>
      <c r="L9">
        <f t="shared" si="3"/>
        <v>1</v>
      </c>
    </row>
    <row r="10" spans="1:12" x14ac:dyDescent="0.25">
      <c r="A10" t="s">
        <v>22</v>
      </c>
      <c r="B10" t="s">
        <v>23</v>
      </c>
      <c r="C10">
        <v>16</v>
      </c>
      <c r="D10">
        <v>0</v>
      </c>
      <c r="E10">
        <v>16</v>
      </c>
      <c r="F10">
        <v>0</v>
      </c>
      <c r="G10">
        <v>16</v>
      </c>
      <c r="H10">
        <v>16</v>
      </c>
      <c r="I10">
        <f t="shared" si="0"/>
        <v>1</v>
      </c>
      <c r="J10">
        <f t="shared" si="1"/>
        <v>1</v>
      </c>
      <c r="K10">
        <f t="shared" si="2"/>
        <v>0</v>
      </c>
      <c r="L10">
        <f t="shared" si="3"/>
        <v>0</v>
      </c>
    </row>
    <row r="11" spans="1:12" x14ac:dyDescent="0.25">
      <c r="A11" t="s">
        <v>24</v>
      </c>
      <c r="B11" t="s">
        <v>23</v>
      </c>
      <c r="C11">
        <v>3</v>
      </c>
      <c r="D11">
        <v>12</v>
      </c>
      <c r="E11">
        <v>2</v>
      </c>
      <c r="F11">
        <v>12</v>
      </c>
      <c r="G11">
        <v>15</v>
      </c>
      <c r="H11">
        <v>14</v>
      </c>
      <c r="I11">
        <f t="shared" si="0"/>
        <v>1</v>
      </c>
      <c r="J11">
        <f t="shared" si="1"/>
        <v>1</v>
      </c>
      <c r="K11">
        <f t="shared" si="2"/>
        <v>1</v>
      </c>
      <c r="L11">
        <f t="shared" si="3"/>
        <v>1</v>
      </c>
    </row>
    <row r="12" spans="1:12" x14ac:dyDescent="0.25">
      <c r="A12" t="s">
        <v>25</v>
      </c>
      <c r="B12" t="s">
        <v>26</v>
      </c>
      <c r="C12">
        <v>0</v>
      </c>
      <c r="D12">
        <v>12</v>
      </c>
      <c r="E12">
        <v>0</v>
      </c>
      <c r="F12">
        <v>12</v>
      </c>
      <c r="G12">
        <v>12</v>
      </c>
      <c r="H12">
        <v>12</v>
      </c>
      <c r="I12">
        <f t="shared" si="0"/>
        <v>0</v>
      </c>
      <c r="J12">
        <f t="shared" si="1"/>
        <v>0</v>
      </c>
      <c r="K12">
        <f t="shared" si="2"/>
        <v>1</v>
      </c>
      <c r="L12">
        <f t="shared" si="3"/>
        <v>1</v>
      </c>
    </row>
    <row r="13" spans="1:12" x14ac:dyDescent="0.25">
      <c r="A13" t="s">
        <v>27</v>
      </c>
      <c r="B13" t="s">
        <v>28</v>
      </c>
      <c r="C13">
        <v>0</v>
      </c>
      <c r="D13">
        <v>12</v>
      </c>
      <c r="E13">
        <v>0</v>
      </c>
      <c r="F13">
        <v>12</v>
      </c>
      <c r="G13">
        <v>12</v>
      </c>
      <c r="H13">
        <v>12</v>
      </c>
      <c r="I13">
        <f t="shared" si="0"/>
        <v>0</v>
      </c>
      <c r="J13">
        <f t="shared" si="1"/>
        <v>0</v>
      </c>
      <c r="K13">
        <f t="shared" si="2"/>
        <v>1</v>
      </c>
      <c r="L13">
        <f t="shared" si="3"/>
        <v>1</v>
      </c>
    </row>
    <row r="14" spans="1:12" x14ac:dyDescent="0.25">
      <c r="A14" t="s">
        <v>29</v>
      </c>
      <c r="B14" t="s">
        <v>28</v>
      </c>
      <c r="C14">
        <v>6</v>
      </c>
      <c r="D14">
        <v>7.5</v>
      </c>
      <c r="E14">
        <v>0</v>
      </c>
      <c r="F14">
        <v>6</v>
      </c>
      <c r="G14">
        <v>13.5</v>
      </c>
      <c r="H14">
        <v>6</v>
      </c>
      <c r="I14">
        <f t="shared" si="0"/>
        <v>1</v>
      </c>
      <c r="J14">
        <f t="shared" si="1"/>
        <v>0</v>
      </c>
      <c r="K14">
        <f t="shared" si="2"/>
        <v>1</v>
      </c>
      <c r="L14">
        <f t="shared" si="3"/>
        <v>1</v>
      </c>
    </row>
    <row r="15" spans="1:12" x14ac:dyDescent="0.25">
      <c r="A15" t="s">
        <v>30</v>
      </c>
      <c r="B15" t="s">
        <v>31</v>
      </c>
      <c r="C15">
        <v>16</v>
      </c>
      <c r="D15">
        <v>2</v>
      </c>
      <c r="E15">
        <v>12</v>
      </c>
      <c r="F15">
        <v>0</v>
      </c>
      <c r="G15">
        <v>18</v>
      </c>
      <c r="H15">
        <v>12</v>
      </c>
      <c r="I15">
        <f t="shared" si="0"/>
        <v>1</v>
      </c>
      <c r="J15">
        <f t="shared" si="1"/>
        <v>1</v>
      </c>
      <c r="K15">
        <f t="shared" si="2"/>
        <v>0</v>
      </c>
      <c r="L15">
        <f t="shared" si="3"/>
        <v>1</v>
      </c>
    </row>
    <row r="16" spans="1:12" x14ac:dyDescent="0.25">
      <c r="A16" t="s">
        <v>32</v>
      </c>
      <c r="B16" t="s">
        <v>31</v>
      </c>
      <c r="C16">
        <v>12</v>
      </c>
      <c r="D16">
        <v>12</v>
      </c>
      <c r="E16">
        <v>3</v>
      </c>
      <c r="F16">
        <v>12</v>
      </c>
      <c r="G16">
        <v>24</v>
      </c>
      <c r="H16">
        <v>15</v>
      </c>
      <c r="I16">
        <f t="shared" si="0"/>
        <v>1</v>
      </c>
      <c r="J16">
        <f t="shared" si="1"/>
        <v>1</v>
      </c>
      <c r="K16">
        <f t="shared" si="2"/>
        <v>1</v>
      </c>
      <c r="L16">
        <f t="shared" si="3"/>
        <v>1</v>
      </c>
    </row>
    <row r="17" spans="1:12" x14ac:dyDescent="0.25">
      <c r="A17" t="s">
        <v>33</v>
      </c>
      <c r="B17" t="s">
        <v>34</v>
      </c>
      <c r="C17">
        <v>6</v>
      </c>
      <c r="D17">
        <v>6</v>
      </c>
      <c r="E17">
        <v>6</v>
      </c>
      <c r="F17">
        <v>6</v>
      </c>
      <c r="G17">
        <v>12</v>
      </c>
      <c r="H17">
        <v>12</v>
      </c>
      <c r="I17">
        <f t="shared" si="0"/>
        <v>1</v>
      </c>
      <c r="J17">
        <f t="shared" si="1"/>
        <v>1</v>
      </c>
      <c r="K17">
        <f t="shared" si="2"/>
        <v>1</v>
      </c>
      <c r="L17">
        <f t="shared" si="3"/>
        <v>1</v>
      </c>
    </row>
    <row r="18" spans="1:12" x14ac:dyDescent="0.25">
      <c r="A18" t="s">
        <v>35</v>
      </c>
      <c r="B18" t="s">
        <v>36</v>
      </c>
      <c r="C18">
        <v>0</v>
      </c>
      <c r="D18">
        <v>12</v>
      </c>
      <c r="E18">
        <v>0</v>
      </c>
      <c r="F18">
        <v>12</v>
      </c>
      <c r="G18">
        <v>12</v>
      </c>
      <c r="H18">
        <v>12</v>
      </c>
      <c r="I18">
        <f t="shared" si="0"/>
        <v>0</v>
      </c>
      <c r="J18">
        <f t="shared" si="1"/>
        <v>0</v>
      </c>
      <c r="K18">
        <f t="shared" si="2"/>
        <v>1</v>
      </c>
      <c r="L18">
        <f t="shared" si="3"/>
        <v>1</v>
      </c>
    </row>
    <row r="19" spans="1:12" x14ac:dyDescent="0.25">
      <c r="A19" t="s">
        <v>37</v>
      </c>
      <c r="B19" t="s">
        <v>38</v>
      </c>
      <c r="C19">
        <v>12</v>
      </c>
      <c r="D19">
        <v>0</v>
      </c>
      <c r="E19">
        <v>6</v>
      </c>
      <c r="F19">
        <v>0</v>
      </c>
      <c r="G19">
        <v>12</v>
      </c>
      <c r="H19">
        <v>6</v>
      </c>
      <c r="I19">
        <f t="shared" si="0"/>
        <v>1</v>
      </c>
      <c r="J19">
        <f t="shared" si="1"/>
        <v>1</v>
      </c>
      <c r="K19">
        <f t="shared" si="2"/>
        <v>0</v>
      </c>
      <c r="L19">
        <f t="shared" si="3"/>
        <v>0</v>
      </c>
    </row>
    <row r="20" spans="1:12" x14ac:dyDescent="0.25">
      <c r="A20" t="s">
        <v>39</v>
      </c>
      <c r="B20" t="s">
        <v>40</v>
      </c>
      <c r="C20">
        <v>4</v>
      </c>
      <c r="D20">
        <v>8</v>
      </c>
      <c r="E20">
        <v>2</v>
      </c>
      <c r="F20">
        <v>2</v>
      </c>
      <c r="G20">
        <v>12</v>
      </c>
      <c r="H20">
        <v>4</v>
      </c>
      <c r="I20">
        <f t="shared" si="0"/>
        <v>1</v>
      </c>
      <c r="J20">
        <f t="shared" si="1"/>
        <v>1</v>
      </c>
      <c r="K20">
        <f t="shared" si="2"/>
        <v>1</v>
      </c>
      <c r="L20">
        <f t="shared" si="3"/>
        <v>1</v>
      </c>
    </row>
    <row r="21" spans="1:12" x14ac:dyDescent="0.25">
      <c r="A21" t="s">
        <v>41</v>
      </c>
      <c r="B21" t="s">
        <v>42</v>
      </c>
      <c r="C21">
        <v>2.5</v>
      </c>
      <c r="D21">
        <v>10.5</v>
      </c>
      <c r="E21">
        <v>0</v>
      </c>
      <c r="F21">
        <v>12</v>
      </c>
      <c r="G21">
        <v>13</v>
      </c>
      <c r="H21">
        <v>12</v>
      </c>
      <c r="I21">
        <f t="shared" si="0"/>
        <v>1</v>
      </c>
      <c r="J21">
        <f t="shared" si="1"/>
        <v>0</v>
      </c>
      <c r="K21">
        <f t="shared" si="2"/>
        <v>1</v>
      </c>
      <c r="L21">
        <f t="shared" si="3"/>
        <v>1</v>
      </c>
    </row>
    <row r="22" spans="1:12" x14ac:dyDescent="0.25">
      <c r="A22" t="s">
        <v>43</v>
      </c>
      <c r="B22" t="s">
        <v>44</v>
      </c>
      <c r="C22">
        <v>6</v>
      </c>
      <c r="D22">
        <v>6</v>
      </c>
      <c r="E22">
        <v>2</v>
      </c>
      <c r="F22">
        <v>12</v>
      </c>
      <c r="G22">
        <v>12</v>
      </c>
      <c r="H22">
        <v>14</v>
      </c>
      <c r="I22">
        <f t="shared" si="0"/>
        <v>1</v>
      </c>
      <c r="J22">
        <f t="shared" si="1"/>
        <v>1</v>
      </c>
      <c r="K22">
        <f t="shared" si="2"/>
        <v>1</v>
      </c>
      <c r="L22">
        <f t="shared" si="3"/>
        <v>1</v>
      </c>
    </row>
    <row r="23" spans="1:12" x14ac:dyDescent="0.25">
      <c r="A23" t="s">
        <v>45</v>
      </c>
      <c r="B23" t="s">
        <v>46</v>
      </c>
      <c r="C23">
        <v>4</v>
      </c>
      <c r="D23">
        <v>8</v>
      </c>
      <c r="E23">
        <v>5</v>
      </c>
      <c r="F23">
        <v>4</v>
      </c>
      <c r="G23">
        <v>12</v>
      </c>
      <c r="H23">
        <v>9</v>
      </c>
      <c r="I23">
        <f t="shared" si="0"/>
        <v>1</v>
      </c>
      <c r="J23">
        <f t="shared" si="1"/>
        <v>1</v>
      </c>
      <c r="K23">
        <f t="shared" si="2"/>
        <v>1</v>
      </c>
      <c r="L23">
        <f t="shared" si="3"/>
        <v>1</v>
      </c>
    </row>
    <row r="24" spans="1:12" x14ac:dyDescent="0.25">
      <c r="A24" t="s">
        <v>47</v>
      </c>
      <c r="B24" t="s">
        <v>48</v>
      </c>
      <c r="C24">
        <v>12</v>
      </c>
      <c r="D24">
        <v>12</v>
      </c>
      <c r="E24">
        <v>2</v>
      </c>
      <c r="F24">
        <v>12</v>
      </c>
      <c r="G24">
        <v>24</v>
      </c>
      <c r="H24">
        <v>14</v>
      </c>
      <c r="I24">
        <f t="shared" si="0"/>
        <v>1</v>
      </c>
      <c r="J24">
        <f t="shared" si="1"/>
        <v>1</v>
      </c>
      <c r="K24">
        <f t="shared" si="2"/>
        <v>1</v>
      </c>
      <c r="L24">
        <f t="shared" si="3"/>
        <v>1</v>
      </c>
    </row>
    <row r="25" spans="1:12" x14ac:dyDescent="0.25">
      <c r="A25" t="s">
        <v>49</v>
      </c>
      <c r="B25" t="s">
        <v>50</v>
      </c>
      <c r="C25">
        <v>18</v>
      </c>
      <c r="D25">
        <v>34</v>
      </c>
      <c r="E25">
        <v>2</v>
      </c>
      <c r="F25">
        <v>8</v>
      </c>
      <c r="G25">
        <v>52</v>
      </c>
      <c r="H25">
        <v>10</v>
      </c>
      <c r="I25">
        <f t="shared" si="0"/>
        <v>1</v>
      </c>
      <c r="J25">
        <f t="shared" si="1"/>
        <v>1</v>
      </c>
      <c r="K25">
        <f t="shared" si="2"/>
        <v>1</v>
      </c>
      <c r="L25">
        <f t="shared" si="3"/>
        <v>1</v>
      </c>
    </row>
    <row r="26" spans="1:12" x14ac:dyDescent="0.25">
      <c r="A26" t="s">
        <v>51</v>
      </c>
      <c r="B26" t="s">
        <v>52</v>
      </c>
      <c r="C26">
        <v>0</v>
      </c>
      <c r="D26">
        <v>12</v>
      </c>
      <c r="E26">
        <v>0</v>
      </c>
      <c r="F26">
        <v>12</v>
      </c>
      <c r="G26">
        <v>12</v>
      </c>
      <c r="H26">
        <v>12</v>
      </c>
      <c r="I26">
        <f t="shared" si="0"/>
        <v>0</v>
      </c>
      <c r="J26">
        <f t="shared" si="1"/>
        <v>0</v>
      </c>
      <c r="K26">
        <f t="shared" si="2"/>
        <v>1</v>
      </c>
      <c r="L26">
        <f t="shared" si="3"/>
        <v>1</v>
      </c>
    </row>
    <row r="27" spans="1:12" x14ac:dyDescent="0.25">
      <c r="A27" t="s">
        <v>53</v>
      </c>
      <c r="B27" t="s">
        <v>54</v>
      </c>
      <c r="C27">
        <v>15</v>
      </c>
      <c r="D27">
        <v>0</v>
      </c>
      <c r="E27">
        <v>8</v>
      </c>
      <c r="F27">
        <v>16</v>
      </c>
      <c r="G27">
        <v>15</v>
      </c>
      <c r="H27">
        <v>24</v>
      </c>
      <c r="I27">
        <f t="shared" si="0"/>
        <v>1</v>
      </c>
      <c r="J27">
        <f t="shared" si="1"/>
        <v>1</v>
      </c>
      <c r="K27">
        <f t="shared" si="2"/>
        <v>1</v>
      </c>
      <c r="L27">
        <f t="shared" si="3"/>
        <v>0</v>
      </c>
    </row>
    <row r="28" spans="1:12" x14ac:dyDescent="0.25">
      <c r="A28" t="s">
        <v>55</v>
      </c>
      <c r="B28" t="s">
        <v>56</v>
      </c>
      <c r="C28">
        <v>6</v>
      </c>
      <c r="D28">
        <v>3</v>
      </c>
      <c r="E28">
        <v>8</v>
      </c>
      <c r="F28">
        <v>24</v>
      </c>
      <c r="G28">
        <v>9</v>
      </c>
      <c r="H28">
        <v>32</v>
      </c>
      <c r="I28">
        <f t="shared" si="0"/>
        <v>1</v>
      </c>
      <c r="J28">
        <f t="shared" si="1"/>
        <v>1</v>
      </c>
      <c r="K28">
        <f t="shared" si="2"/>
        <v>1</v>
      </c>
      <c r="L28">
        <f t="shared" si="3"/>
        <v>1</v>
      </c>
    </row>
    <row r="29" spans="1:12" x14ac:dyDescent="0.25">
      <c r="A29" t="s">
        <v>57</v>
      </c>
      <c r="B29" t="s">
        <v>58</v>
      </c>
      <c r="C29">
        <v>6</v>
      </c>
      <c r="D29">
        <v>6</v>
      </c>
      <c r="E29">
        <v>6</v>
      </c>
      <c r="F29">
        <v>3</v>
      </c>
      <c r="G29">
        <v>12</v>
      </c>
      <c r="H29">
        <v>9</v>
      </c>
      <c r="I29">
        <f t="shared" si="0"/>
        <v>1</v>
      </c>
      <c r="J29">
        <f t="shared" si="1"/>
        <v>1</v>
      </c>
      <c r="K29">
        <f t="shared" si="2"/>
        <v>1</v>
      </c>
      <c r="L29">
        <f t="shared" si="3"/>
        <v>1</v>
      </c>
    </row>
    <row r="30" spans="1:12" x14ac:dyDescent="0.25">
      <c r="A30" t="s">
        <v>59</v>
      </c>
      <c r="B30" t="s">
        <v>60</v>
      </c>
      <c r="C30">
        <v>9</v>
      </c>
      <c r="D30">
        <v>0</v>
      </c>
      <c r="E30">
        <v>6</v>
      </c>
      <c r="F30">
        <v>6</v>
      </c>
      <c r="G30">
        <v>9</v>
      </c>
      <c r="H30">
        <v>12</v>
      </c>
      <c r="I30">
        <f t="shared" si="0"/>
        <v>1</v>
      </c>
      <c r="J30">
        <f t="shared" si="1"/>
        <v>1</v>
      </c>
      <c r="K30">
        <f t="shared" si="2"/>
        <v>1</v>
      </c>
      <c r="L30">
        <f t="shared" si="3"/>
        <v>0</v>
      </c>
    </row>
    <row r="31" spans="1:12" x14ac:dyDescent="0.25">
      <c r="A31" t="s">
        <v>61</v>
      </c>
      <c r="B31" t="s">
        <v>62</v>
      </c>
      <c r="C31">
        <v>14</v>
      </c>
      <c r="D31">
        <v>0</v>
      </c>
      <c r="E31">
        <v>6</v>
      </c>
      <c r="F31">
        <v>6</v>
      </c>
      <c r="G31">
        <v>14</v>
      </c>
      <c r="H31">
        <v>12</v>
      </c>
      <c r="I31">
        <f t="shared" si="0"/>
        <v>1</v>
      </c>
      <c r="J31">
        <f t="shared" si="1"/>
        <v>1</v>
      </c>
      <c r="K31">
        <f t="shared" si="2"/>
        <v>1</v>
      </c>
      <c r="L31">
        <f t="shared" si="3"/>
        <v>0</v>
      </c>
    </row>
    <row r="32" spans="1:12" x14ac:dyDescent="0.25">
      <c r="A32" t="s">
        <v>63</v>
      </c>
      <c r="B32" t="s">
        <v>64</v>
      </c>
      <c r="C32">
        <v>16</v>
      </c>
      <c r="D32">
        <v>8</v>
      </c>
      <c r="E32">
        <v>16</v>
      </c>
      <c r="F32">
        <v>8</v>
      </c>
      <c r="G32">
        <v>24</v>
      </c>
      <c r="H32">
        <v>24</v>
      </c>
      <c r="I32">
        <f t="shared" si="0"/>
        <v>1</v>
      </c>
      <c r="J32">
        <f t="shared" si="1"/>
        <v>1</v>
      </c>
      <c r="K32">
        <f t="shared" si="2"/>
        <v>1</v>
      </c>
      <c r="L32">
        <f t="shared" si="3"/>
        <v>1</v>
      </c>
    </row>
    <row r="33" spans="1:12" x14ac:dyDescent="0.25">
      <c r="A33" t="s">
        <v>65</v>
      </c>
      <c r="B33" t="s">
        <v>66</v>
      </c>
      <c r="C33">
        <v>24</v>
      </c>
      <c r="D33">
        <v>0</v>
      </c>
      <c r="E33">
        <v>24</v>
      </c>
      <c r="F33">
        <v>24</v>
      </c>
      <c r="G33">
        <v>24</v>
      </c>
      <c r="H33">
        <v>48</v>
      </c>
      <c r="I33">
        <f t="shared" si="0"/>
        <v>1</v>
      </c>
      <c r="J33">
        <f t="shared" si="1"/>
        <v>1</v>
      </c>
      <c r="K33">
        <f t="shared" si="2"/>
        <v>1</v>
      </c>
      <c r="L33">
        <f t="shared" si="3"/>
        <v>0</v>
      </c>
    </row>
    <row r="34" spans="1:12" x14ac:dyDescent="0.25">
      <c r="A34" t="s">
        <v>67</v>
      </c>
      <c r="B34" t="s">
        <v>66</v>
      </c>
      <c r="C34">
        <v>12</v>
      </c>
      <c r="D34">
        <v>0</v>
      </c>
      <c r="E34">
        <v>21</v>
      </c>
      <c r="F34">
        <v>3</v>
      </c>
      <c r="G34">
        <v>12</v>
      </c>
      <c r="H34">
        <v>24</v>
      </c>
      <c r="I34">
        <f t="shared" si="0"/>
        <v>1</v>
      </c>
      <c r="J34">
        <f t="shared" si="1"/>
        <v>1</v>
      </c>
      <c r="K34">
        <f t="shared" si="2"/>
        <v>1</v>
      </c>
      <c r="L34">
        <f t="shared" si="3"/>
        <v>0</v>
      </c>
    </row>
    <row r="35" spans="1:12" x14ac:dyDescent="0.25">
      <c r="A35" t="s">
        <v>68</v>
      </c>
      <c r="B35" t="s">
        <v>66</v>
      </c>
      <c r="C35">
        <v>14</v>
      </c>
      <c r="D35">
        <v>0</v>
      </c>
      <c r="E35">
        <v>14</v>
      </c>
      <c r="F35">
        <v>2</v>
      </c>
      <c r="G35">
        <v>14</v>
      </c>
      <c r="H35">
        <v>16</v>
      </c>
      <c r="I35">
        <f t="shared" si="0"/>
        <v>1</v>
      </c>
      <c r="J35">
        <f t="shared" si="1"/>
        <v>1</v>
      </c>
      <c r="K35">
        <f t="shared" si="2"/>
        <v>1</v>
      </c>
      <c r="L35">
        <f t="shared" si="3"/>
        <v>0</v>
      </c>
    </row>
    <row r="36" spans="1:12" x14ac:dyDescent="0.25">
      <c r="A36" t="s">
        <v>69</v>
      </c>
      <c r="B36" t="s">
        <v>66</v>
      </c>
      <c r="C36">
        <v>16</v>
      </c>
      <c r="D36">
        <v>0</v>
      </c>
      <c r="E36">
        <v>16</v>
      </c>
      <c r="F36">
        <v>8</v>
      </c>
      <c r="G36">
        <v>16</v>
      </c>
      <c r="H36">
        <v>24</v>
      </c>
      <c r="I36">
        <f t="shared" si="0"/>
        <v>1</v>
      </c>
      <c r="J36">
        <f t="shared" si="1"/>
        <v>1</v>
      </c>
      <c r="K36">
        <f t="shared" si="2"/>
        <v>1</v>
      </c>
      <c r="L36">
        <f t="shared" si="3"/>
        <v>0</v>
      </c>
    </row>
    <row r="37" spans="1:12" x14ac:dyDescent="0.25">
      <c r="A37" t="s">
        <v>70</v>
      </c>
      <c r="B37" t="s">
        <v>71</v>
      </c>
      <c r="C37">
        <v>11</v>
      </c>
      <c r="D37">
        <v>12</v>
      </c>
      <c r="E37">
        <v>11</v>
      </c>
      <c r="F37">
        <v>12</v>
      </c>
      <c r="G37">
        <v>23</v>
      </c>
      <c r="H37">
        <v>23</v>
      </c>
      <c r="I37">
        <f t="shared" si="0"/>
        <v>1</v>
      </c>
      <c r="J37">
        <f t="shared" si="1"/>
        <v>1</v>
      </c>
      <c r="K37">
        <f t="shared" si="2"/>
        <v>1</v>
      </c>
      <c r="L37">
        <f t="shared" si="3"/>
        <v>1</v>
      </c>
    </row>
    <row r="38" spans="1:12" x14ac:dyDescent="0.25">
      <c r="A38" t="s">
        <v>72</v>
      </c>
      <c r="B38" t="s">
        <v>73</v>
      </c>
      <c r="C38">
        <v>12</v>
      </c>
      <c r="D38">
        <v>0</v>
      </c>
      <c r="E38">
        <v>2</v>
      </c>
      <c r="F38">
        <v>0</v>
      </c>
      <c r="G38">
        <v>12</v>
      </c>
      <c r="H38">
        <v>2</v>
      </c>
      <c r="I38">
        <f t="shared" si="0"/>
        <v>1</v>
      </c>
      <c r="J38">
        <f t="shared" si="1"/>
        <v>1</v>
      </c>
      <c r="K38">
        <f t="shared" si="2"/>
        <v>0</v>
      </c>
      <c r="L38">
        <f t="shared" si="3"/>
        <v>0</v>
      </c>
    </row>
    <row r="39" spans="1:12" x14ac:dyDescent="0.25">
      <c r="A39" t="s">
        <v>74</v>
      </c>
      <c r="B39" t="s">
        <v>75</v>
      </c>
      <c r="C39">
        <v>12</v>
      </c>
      <c r="D39">
        <v>15</v>
      </c>
      <c r="E39">
        <v>12</v>
      </c>
      <c r="F39">
        <v>12</v>
      </c>
      <c r="G39">
        <v>27</v>
      </c>
      <c r="H39">
        <v>24</v>
      </c>
      <c r="I39">
        <f t="shared" si="0"/>
        <v>1</v>
      </c>
      <c r="J39">
        <f t="shared" si="1"/>
        <v>1</v>
      </c>
      <c r="K39">
        <f t="shared" si="2"/>
        <v>1</v>
      </c>
      <c r="L39">
        <f t="shared" si="3"/>
        <v>1</v>
      </c>
    </row>
    <row r="40" spans="1:12" x14ac:dyDescent="0.25">
      <c r="A40" t="s">
        <v>76</v>
      </c>
      <c r="B40" t="s">
        <v>75</v>
      </c>
      <c r="C40">
        <v>14</v>
      </c>
      <c r="D40">
        <v>0</v>
      </c>
      <c r="E40">
        <v>6</v>
      </c>
      <c r="F40">
        <v>12</v>
      </c>
      <c r="G40">
        <v>14</v>
      </c>
      <c r="H40">
        <v>18</v>
      </c>
      <c r="I40">
        <f t="shared" si="0"/>
        <v>1</v>
      </c>
      <c r="J40">
        <f t="shared" si="1"/>
        <v>1</v>
      </c>
      <c r="K40">
        <f t="shared" si="2"/>
        <v>1</v>
      </c>
      <c r="L40">
        <f t="shared" si="3"/>
        <v>0</v>
      </c>
    </row>
    <row r="41" spans="1:12" x14ac:dyDescent="0.25">
      <c r="A41" t="s">
        <v>77</v>
      </c>
      <c r="B41" t="s">
        <v>75</v>
      </c>
      <c r="C41">
        <v>4</v>
      </c>
      <c r="D41">
        <v>12</v>
      </c>
      <c r="E41">
        <v>2</v>
      </c>
      <c r="F41">
        <v>12</v>
      </c>
      <c r="G41">
        <v>16</v>
      </c>
      <c r="H41">
        <v>14</v>
      </c>
      <c r="I41">
        <f t="shared" si="0"/>
        <v>1</v>
      </c>
      <c r="J41">
        <f t="shared" si="1"/>
        <v>1</v>
      </c>
      <c r="K41">
        <f t="shared" si="2"/>
        <v>1</v>
      </c>
      <c r="L41">
        <f t="shared" si="3"/>
        <v>1</v>
      </c>
    </row>
    <row r="42" spans="1:12" x14ac:dyDescent="0.25">
      <c r="A42" t="s">
        <v>78</v>
      </c>
      <c r="B42" t="s">
        <v>75</v>
      </c>
      <c r="C42">
        <v>16</v>
      </c>
      <c r="D42">
        <v>24</v>
      </c>
      <c r="E42">
        <v>16</v>
      </c>
      <c r="F42">
        <v>24</v>
      </c>
      <c r="G42">
        <v>40</v>
      </c>
      <c r="H42">
        <v>40</v>
      </c>
      <c r="I42">
        <f t="shared" si="0"/>
        <v>1</v>
      </c>
      <c r="J42">
        <f t="shared" si="1"/>
        <v>1</v>
      </c>
      <c r="K42">
        <f t="shared" si="2"/>
        <v>1</v>
      </c>
      <c r="L42">
        <f t="shared" si="3"/>
        <v>1</v>
      </c>
    </row>
    <row r="43" spans="1:12" x14ac:dyDescent="0.25">
      <c r="A43" t="s">
        <v>79</v>
      </c>
      <c r="B43" t="s">
        <v>75</v>
      </c>
      <c r="C43">
        <v>4</v>
      </c>
      <c r="D43">
        <v>12</v>
      </c>
      <c r="E43">
        <v>2</v>
      </c>
      <c r="F43">
        <v>12</v>
      </c>
      <c r="G43">
        <v>16</v>
      </c>
      <c r="H43">
        <v>14</v>
      </c>
      <c r="I43">
        <f t="shared" si="0"/>
        <v>1</v>
      </c>
      <c r="J43">
        <f t="shared" si="1"/>
        <v>1</v>
      </c>
      <c r="K43">
        <f t="shared" si="2"/>
        <v>1</v>
      </c>
      <c r="L43">
        <f t="shared" si="3"/>
        <v>1</v>
      </c>
    </row>
    <row r="44" spans="1:12" x14ac:dyDescent="0.25">
      <c r="A44" t="s">
        <v>80</v>
      </c>
      <c r="B44" t="s">
        <v>75</v>
      </c>
      <c r="C44">
        <v>0</v>
      </c>
      <c r="D44">
        <v>3</v>
      </c>
      <c r="E44">
        <v>0</v>
      </c>
      <c r="F44">
        <v>0</v>
      </c>
      <c r="G44">
        <v>3</v>
      </c>
      <c r="H44">
        <v>0</v>
      </c>
      <c r="I44">
        <f t="shared" si="0"/>
        <v>0</v>
      </c>
      <c r="J44">
        <f t="shared" si="1"/>
        <v>0</v>
      </c>
      <c r="K44">
        <f t="shared" si="2"/>
        <v>0</v>
      </c>
      <c r="L44">
        <f t="shared" si="3"/>
        <v>1</v>
      </c>
    </row>
    <row r="45" spans="1:12" x14ac:dyDescent="0.25">
      <c r="A45" t="s">
        <v>81</v>
      </c>
      <c r="B45" t="s">
        <v>82</v>
      </c>
      <c r="C45">
        <v>7.5</v>
      </c>
      <c r="D45">
        <v>3</v>
      </c>
      <c r="E45">
        <v>3</v>
      </c>
      <c r="F45">
        <v>4</v>
      </c>
      <c r="G45">
        <v>10.5</v>
      </c>
      <c r="H45">
        <v>7</v>
      </c>
      <c r="I45">
        <f t="shared" si="0"/>
        <v>1</v>
      </c>
      <c r="J45">
        <f t="shared" si="1"/>
        <v>1</v>
      </c>
      <c r="K45">
        <f t="shared" si="2"/>
        <v>1</v>
      </c>
      <c r="L45">
        <f t="shared" si="3"/>
        <v>1</v>
      </c>
    </row>
    <row r="46" spans="1:12" x14ac:dyDescent="0.25">
      <c r="A46" t="s">
        <v>83</v>
      </c>
      <c r="B46" t="s">
        <v>84</v>
      </c>
      <c r="C46">
        <v>3.5</v>
      </c>
      <c r="D46">
        <v>6</v>
      </c>
      <c r="E46">
        <v>1</v>
      </c>
      <c r="G46">
        <v>9.5</v>
      </c>
      <c r="H46">
        <v>1</v>
      </c>
      <c r="I46">
        <f t="shared" si="0"/>
        <v>1</v>
      </c>
      <c r="J46">
        <f t="shared" si="1"/>
        <v>1</v>
      </c>
      <c r="K46">
        <f t="shared" si="2"/>
        <v>0</v>
      </c>
      <c r="L46">
        <f t="shared" si="3"/>
        <v>1</v>
      </c>
    </row>
    <row r="47" spans="1:12" x14ac:dyDescent="0.25">
      <c r="A47" t="s">
        <v>85</v>
      </c>
      <c r="B47" t="s">
        <v>84</v>
      </c>
      <c r="C47">
        <v>9.5</v>
      </c>
      <c r="D47">
        <v>6</v>
      </c>
      <c r="E47">
        <v>6</v>
      </c>
      <c r="G47">
        <v>15.5</v>
      </c>
      <c r="H47">
        <v>6</v>
      </c>
      <c r="I47">
        <f t="shared" si="0"/>
        <v>1</v>
      </c>
      <c r="J47">
        <f t="shared" si="1"/>
        <v>1</v>
      </c>
      <c r="K47">
        <f t="shared" si="2"/>
        <v>0</v>
      </c>
      <c r="L47">
        <f t="shared" si="3"/>
        <v>1</v>
      </c>
    </row>
    <row r="48" spans="1:12" x14ac:dyDescent="0.25">
      <c r="A48" t="s">
        <v>86</v>
      </c>
      <c r="B48" t="s">
        <v>84</v>
      </c>
      <c r="C48">
        <v>12</v>
      </c>
      <c r="E48">
        <v>2</v>
      </c>
      <c r="F48">
        <v>12</v>
      </c>
      <c r="G48">
        <v>12</v>
      </c>
      <c r="H48">
        <v>14</v>
      </c>
      <c r="I48">
        <f t="shared" si="0"/>
        <v>1</v>
      </c>
      <c r="J48">
        <f t="shared" si="1"/>
        <v>1</v>
      </c>
      <c r="K48">
        <f t="shared" si="2"/>
        <v>1</v>
      </c>
      <c r="L48">
        <f t="shared" si="3"/>
        <v>0</v>
      </c>
    </row>
    <row r="49" spans="1:12" x14ac:dyDescent="0.25">
      <c r="A49" t="s">
        <v>87</v>
      </c>
      <c r="B49" t="s">
        <v>84</v>
      </c>
      <c r="C49">
        <v>51</v>
      </c>
      <c r="D49">
        <v>51</v>
      </c>
      <c r="E49">
        <v>51</v>
      </c>
      <c r="G49">
        <v>102</v>
      </c>
      <c r="H49">
        <v>51</v>
      </c>
      <c r="I49">
        <f t="shared" si="0"/>
        <v>1</v>
      </c>
      <c r="J49">
        <f t="shared" si="1"/>
        <v>1</v>
      </c>
      <c r="K49">
        <f t="shared" si="2"/>
        <v>0</v>
      </c>
      <c r="L49">
        <f t="shared" si="3"/>
        <v>1</v>
      </c>
    </row>
    <row r="50" spans="1:12" x14ac:dyDescent="0.25">
      <c r="A50" t="s">
        <v>88</v>
      </c>
      <c r="B50" t="s">
        <v>84</v>
      </c>
      <c r="C50">
        <v>12</v>
      </c>
      <c r="D50">
        <v>0</v>
      </c>
      <c r="E50">
        <v>7</v>
      </c>
      <c r="G50">
        <v>12</v>
      </c>
      <c r="H50">
        <v>7</v>
      </c>
      <c r="I50">
        <f t="shared" si="0"/>
        <v>1</v>
      </c>
      <c r="J50">
        <f t="shared" si="1"/>
        <v>1</v>
      </c>
      <c r="K50">
        <f t="shared" si="2"/>
        <v>0</v>
      </c>
      <c r="L50">
        <f t="shared" si="3"/>
        <v>0</v>
      </c>
    </row>
    <row r="51" spans="1:12" x14ac:dyDescent="0.25">
      <c r="A51" t="s">
        <v>89</v>
      </c>
      <c r="B51" t="s">
        <v>9</v>
      </c>
      <c r="C51">
        <v>16</v>
      </c>
      <c r="D51">
        <v>6</v>
      </c>
      <c r="E51">
        <v>16</v>
      </c>
      <c r="G51">
        <v>22</v>
      </c>
      <c r="H51">
        <v>16</v>
      </c>
      <c r="I51">
        <f t="shared" si="0"/>
        <v>1</v>
      </c>
      <c r="J51">
        <f t="shared" si="1"/>
        <v>1</v>
      </c>
      <c r="K51">
        <f t="shared" si="2"/>
        <v>0</v>
      </c>
      <c r="L51">
        <f t="shared" si="3"/>
        <v>1</v>
      </c>
    </row>
    <row r="52" spans="1:12" x14ac:dyDescent="0.25">
      <c r="A52" t="s">
        <v>90</v>
      </c>
      <c r="B52" t="s">
        <v>91</v>
      </c>
      <c r="C52">
        <v>12</v>
      </c>
      <c r="D52">
        <v>9</v>
      </c>
      <c r="E52">
        <v>12</v>
      </c>
      <c r="G52">
        <v>21</v>
      </c>
      <c r="H52">
        <v>12</v>
      </c>
      <c r="I52">
        <f t="shared" si="0"/>
        <v>1</v>
      </c>
      <c r="J52">
        <f t="shared" si="1"/>
        <v>1</v>
      </c>
      <c r="K52">
        <f t="shared" si="2"/>
        <v>0</v>
      </c>
      <c r="L52">
        <f t="shared" si="3"/>
        <v>1</v>
      </c>
    </row>
    <row r="53" spans="1:12" x14ac:dyDescent="0.25">
      <c r="A53" t="s">
        <v>92</v>
      </c>
      <c r="B53" t="s">
        <v>91</v>
      </c>
      <c r="C53">
        <v>8</v>
      </c>
      <c r="D53">
        <v>10</v>
      </c>
      <c r="E53">
        <v>12</v>
      </c>
      <c r="G53">
        <v>18</v>
      </c>
      <c r="H53">
        <v>12</v>
      </c>
      <c r="I53">
        <f t="shared" si="0"/>
        <v>1</v>
      </c>
      <c r="J53">
        <f t="shared" si="1"/>
        <v>1</v>
      </c>
      <c r="K53">
        <f t="shared" si="2"/>
        <v>0</v>
      </c>
      <c r="L53">
        <f t="shared" si="3"/>
        <v>1</v>
      </c>
    </row>
    <row r="54" spans="1:12" x14ac:dyDescent="0.25">
      <c r="A54" t="s">
        <v>93</v>
      </c>
      <c r="B54" t="s">
        <v>91</v>
      </c>
      <c r="C54">
        <v>12</v>
      </c>
      <c r="D54">
        <v>0</v>
      </c>
      <c r="E54">
        <v>4</v>
      </c>
      <c r="G54">
        <v>12</v>
      </c>
      <c r="H54">
        <v>4</v>
      </c>
      <c r="I54">
        <f t="shared" si="0"/>
        <v>1</v>
      </c>
      <c r="J54">
        <f t="shared" si="1"/>
        <v>1</v>
      </c>
      <c r="K54">
        <f t="shared" si="2"/>
        <v>0</v>
      </c>
      <c r="L54">
        <f t="shared" si="3"/>
        <v>0</v>
      </c>
    </row>
    <row r="55" spans="1:12" x14ac:dyDescent="0.25">
      <c r="A55" t="s">
        <v>93</v>
      </c>
      <c r="B55" t="s">
        <v>91</v>
      </c>
      <c r="C55">
        <v>4</v>
      </c>
      <c r="D55">
        <v>12</v>
      </c>
      <c r="E55">
        <v>4</v>
      </c>
      <c r="G55">
        <v>16</v>
      </c>
      <c r="H55">
        <v>4</v>
      </c>
      <c r="I55">
        <f t="shared" si="0"/>
        <v>1</v>
      </c>
      <c r="J55">
        <f t="shared" si="1"/>
        <v>1</v>
      </c>
      <c r="K55">
        <f t="shared" si="2"/>
        <v>0</v>
      </c>
      <c r="L55">
        <f t="shared" si="3"/>
        <v>1</v>
      </c>
    </row>
    <row r="56" spans="1:12" x14ac:dyDescent="0.25">
      <c r="A56" t="s">
        <v>94</v>
      </c>
      <c r="B56" t="s">
        <v>91</v>
      </c>
      <c r="C56">
        <v>6</v>
      </c>
      <c r="D56">
        <v>1</v>
      </c>
      <c r="E56">
        <v>4</v>
      </c>
      <c r="G56">
        <v>7</v>
      </c>
      <c r="H56">
        <v>4</v>
      </c>
      <c r="I56">
        <f t="shared" si="0"/>
        <v>1</v>
      </c>
      <c r="J56">
        <f t="shared" si="1"/>
        <v>1</v>
      </c>
      <c r="K56">
        <f t="shared" si="2"/>
        <v>0</v>
      </c>
      <c r="L56">
        <f t="shared" si="3"/>
        <v>1</v>
      </c>
    </row>
    <row r="57" spans="1:12" x14ac:dyDescent="0.25">
      <c r="A57" t="s">
        <v>95</v>
      </c>
      <c r="B57" t="s">
        <v>96</v>
      </c>
      <c r="C57">
        <v>7.5</v>
      </c>
      <c r="D57">
        <v>1</v>
      </c>
      <c r="E57">
        <v>6</v>
      </c>
      <c r="G57">
        <v>8.5</v>
      </c>
      <c r="H57">
        <v>6</v>
      </c>
      <c r="I57">
        <f t="shared" si="0"/>
        <v>1</v>
      </c>
      <c r="J57">
        <f t="shared" si="1"/>
        <v>1</v>
      </c>
      <c r="K57">
        <f t="shared" si="2"/>
        <v>0</v>
      </c>
      <c r="L57">
        <f t="shared" si="3"/>
        <v>1</v>
      </c>
    </row>
    <row r="58" spans="1:12" x14ac:dyDescent="0.25">
      <c r="A58" t="s">
        <v>97</v>
      </c>
      <c r="B58" t="s">
        <v>96</v>
      </c>
      <c r="C58">
        <v>12</v>
      </c>
      <c r="D58">
        <v>0</v>
      </c>
      <c r="E58">
        <v>8</v>
      </c>
      <c r="G58">
        <v>12</v>
      </c>
      <c r="H58">
        <v>8</v>
      </c>
      <c r="I58">
        <f t="shared" si="0"/>
        <v>1</v>
      </c>
      <c r="J58">
        <f t="shared" si="1"/>
        <v>1</v>
      </c>
      <c r="K58">
        <f t="shared" si="2"/>
        <v>0</v>
      </c>
      <c r="L58">
        <f t="shared" si="3"/>
        <v>0</v>
      </c>
    </row>
    <row r="59" spans="1:12" x14ac:dyDescent="0.25">
      <c r="A59" t="s">
        <v>98</v>
      </c>
      <c r="B59" t="s">
        <v>96</v>
      </c>
      <c r="C59">
        <v>12</v>
      </c>
      <c r="D59">
        <v>12</v>
      </c>
      <c r="E59">
        <v>12</v>
      </c>
      <c r="G59">
        <v>24</v>
      </c>
      <c r="H59">
        <v>12</v>
      </c>
      <c r="I59">
        <f t="shared" si="0"/>
        <v>1</v>
      </c>
      <c r="J59">
        <f t="shared" si="1"/>
        <v>1</v>
      </c>
      <c r="K59">
        <f t="shared" si="2"/>
        <v>0</v>
      </c>
      <c r="L59">
        <f t="shared" si="3"/>
        <v>1</v>
      </c>
    </row>
    <row r="60" spans="1:12" x14ac:dyDescent="0.25">
      <c r="A60" t="s">
        <v>99</v>
      </c>
      <c r="B60" t="s">
        <v>96</v>
      </c>
      <c r="C60">
        <v>6</v>
      </c>
      <c r="D60">
        <v>1.5</v>
      </c>
      <c r="E60">
        <v>0</v>
      </c>
      <c r="G60">
        <v>7.5</v>
      </c>
      <c r="H60">
        <v>0</v>
      </c>
      <c r="I60">
        <f t="shared" si="0"/>
        <v>1</v>
      </c>
      <c r="J60">
        <f t="shared" si="1"/>
        <v>0</v>
      </c>
      <c r="K60">
        <f t="shared" si="2"/>
        <v>0</v>
      </c>
      <c r="L60">
        <f t="shared" si="3"/>
        <v>1</v>
      </c>
    </row>
    <row r="61" spans="1:12" x14ac:dyDescent="0.25">
      <c r="A61" t="s">
        <v>100</v>
      </c>
      <c r="B61" t="s">
        <v>101</v>
      </c>
      <c r="C61">
        <v>6</v>
      </c>
      <c r="D61">
        <v>6</v>
      </c>
      <c r="E61">
        <v>0</v>
      </c>
      <c r="G61">
        <v>12</v>
      </c>
      <c r="H61">
        <v>0</v>
      </c>
      <c r="I61">
        <f t="shared" si="0"/>
        <v>1</v>
      </c>
      <c r="J61">
        <f t="shared" si="1"/>
        <v>0</v>
      </c>
      <c r="K61">
        <f t="shared" si="2"/>
        <v>0</v>
      </c>
      <c r="L61">
        <f t="shared" si="3"/>
        <v>1</v>
      </c>
    </row>
    <row r="62" spans="1:12" x14ac:dyDescent="0.25">
      <c r="A62" t="s">
        <v>102</v>
      </c>
      <c r="B62" t="s">
        <v>103</v>
      </c>
      <c r="C62">
        <v>6</v>
      </c>
      <c r="D62">
        <v>6</v>
      </c>
      <c r="E62">
        <v>16</v>
      </c>
      <c r="G62">
        <v>12</v>
      </c>
      <c r="H62">
        <v>16</v>
      </c>
      <c r="I62">
        <f t="shared" si="0"/>
        <v>1</v>
      </c>
      <c r="J62">
        <f t="shared" si="1"/>
        <v>1</v>
      </c>
      <c r="K62">
        <f t="shared" si="2"/>
        <v>0</v>
      </c>
      <c r="L62">
        <f t="shared" si="3"/>
        <v>1</v>
      </c>
    </row>
    <row r="63" spans="1:12" x14ac:dyDescent="0.25">
      <c r="A63" t="s">
        <v>104</v>
      </c>
      <c r="B63" t="s">
        <v>13</v>
      </c>
      <c r="C63">
        <v>26</v>
      </c>
      <c r="D63">
        <v>13</v>
      </c>
      <c r="E63">
        <v>2</v>
      </c>
      <c r="G63">
        <v>39</v>
      </c>
      <c r="H63">
        <v>2</v>
      </c>
      <c r="I63">
        <f t="shared" si="0"/>
        <v>1</v>
      </c>
      <c r="J63">
        <f t="shared" si="1"/>
        <v>1</v>
      </c>
      <c r="K63">
        <f t="shared" si="2"/>
        <v>0</v>
      </c>
      <c r="L63">
        <f t="shared" si="3"/>
        <v>1</v>
      </c>
    </row>
    <row r="64" spans="1:12" x14ac:dyDescent="0.25">
      <c r="A64" t="s">
        <v>105</v>
      </c>
      <c r="B64" t="s">
        <v>13</v>
      </c>
      <c r="C64">
        <v>6</v>
      </c>
      <c r="D64">
        <v>0</v>
      </c>
      <c r="E64">
        <v>6</v>
      </c>
      <c r="G64">
        <v>6</v>
      </c>
      <c r="H64">
        <v>6</v>
      </c>
      <c r="I64">
        <f t="shared" si="0"/>
        <v>1</v>
      </c>
      <c r="J64">
        <f t="shared" si="1"/>
        <v>1</v>
      </c>
      <c r="K64">
        <f t="shared" si="2"/>
        <v>0</v>
      </c>
      <c r="L64">
        <f t="shared" si="3"/>
        <v>0</v>
      </c>
    </row>
    <row r="65" spans="1:12" x14ac:dyDescent="0.25">
      <c r="A65" t="s">
        <v>106</v>
      </c>
      <c r="B65" t="s">
        <v>16</v>
      </c>
      <c r="C65">
        <v>12</v>
      </c>
      <c r="D65">
        <v>6</v>
      </c>
      <c r="E65">
        <v>0</v>
      </c>
      <c r="G65">
        <v>18</v>
      </c>
      <c r="H65">
        <v>0</v>
      </c>
      <c r="I65">
        <f t="shared" si="0"/>
        <v>1</v>
      </c>
      <c r="J65">
        <f t="shared" si="1"/>
        <v>0</v>
      </c>
      <c r="K65">
        <f t="shared" si="2"/>
        <v>0</v>
      </c>
      <c r="L65">
        <f t="shared" si="3"/>
        <v>1</v>
      </c>
    </row>
    <row r="66" spans="1:12" x14ac:dyDescent="0.25">
      <c r="A66" t="s">
        <v>107</v>
      </c>
      <c r="B66" t="s">
        <v>108</v>
      </c>
      <c r="C66">
        <v>8</v>
      </c>
      <c r="D66">
        <v>0</v>
      </c>
      <c r="E66">
        <v>2</v>
      </c>
      <c r="G66">
        <v>8</v>
      </c>
      <c r="H66">
        <v>2</v>
      </c>
      <c r="I66">
        <f t="shared" si="0"/>
        <v>1</v>
      </c>
      <c r="J66">
        <f t="shared" si="1"/>
        <v>1</v>
      </c>
      <c r="K66">
        <f t="shared" si="2"/>
        <v>0</v>
      </c>
      <c r="L66">
        <f t="shared" si="3"/>
        <v>0</v>
      </c>
    </row>
    <row r="67" spans="1:12" x14ac:dyDescent="0.25">
      <c r="A67" t="s">
        <v>109</v>
      </c>
      <c r="B67" t="s">
        <v>108</v>
      </c>
      <c r="C67">
        <v>9</v>
      </c>
      <c r="D67">
        <v>3</v>
      </c>
      <c r="E67">
        <v>6</v>
      </c>
      <c r="G67">
        <v>12</v>
      </c>
      <c r="H67">
        <v>6</v>
      </c>
      <c r="I67">
        <f t="shared" ref="I67:I130" si="4">IF(C67&gt;0, 1, 0)</f>
        <v>1</v>
      </c>
      <c r="J67">
        <f t="shared" ref="J67:J130" si="5">IF(E67&gt;0, 1,0)</f>
        <v>1</v>
      </c>
      <c r="K67">
        <f t="shared" ref="K67:K130" si="6">IF(F67&gt;0, 1, 0)</f>
        <v>0</v>
      </c>
      <c r="L67">
        <f t="shared" ref="L67:L130" si="7">IF(D67&gt;0, 1, 0)</f>
        <v>1</v>
      </c>
    </row>
    <row r="68" spans="1:12" x14ac:dyDescent="0.25">
      <c r="A68" t="s">
        <v>110</v>
      </c>
      <c r="B68" t="s">
        <v>111</v>
      </c>
      <c r="C68">
        <v>9</v>
      </c>
      <c r="D68">
        <v>0</v>
      </c>
      <c r="E68">
        <v>6</v>
      </c>
      <c r="G68">
        <v>9</v>
      </c>
      <c r="H68">
        <v>6</v>
      </c>
      <c r="I68">
        <f t="shared" si="4"/>
        <v>1</v>
      </c>
      <c r="J68">
        <f t="shared" si="5"/>
        <v>1</v>
      </c>
      <c r="K68">
        <f t="shared" si="6"/>
        <v>0</v>
      </c>
      <c r="L68">
        <f t="shared" si="7"/>
        <v>0</v>
      </c>
    </row>
    <row r="69" spans="1:12" x14ac:dyDescent="0.25">
      <c r="A69" t="s">
        <v>112</v>
      </c>
      <c r="B69" t="s">
        <v>111</v>
      </c>
      <c r="C69">
        <v>6</v>
      </c>
      <c r="D69">
        <v>0.5</v>
      </c>
      <c r="E69">
        <v>2</v>
      </c>
      <c r="G69">
        <v>6.5</v>
      </c>
      <c r="H69">
        <v>2</v>
      </c>
      <c r="I69">
        <f t="shared" si="4"/>
        <v>1</v>
      </c>
      <c r="J69">
        <f t="shared" si="5"/>
        <v>1</v>
      </c>
      <c r="K69">
        <f t="shared" si="6"/>
        <v>0</v>
      </c>
      <c r="L69">
        <f t="shared" si="7"/>
        <v>1</v>
      </c>
    </row>
    <row r="70" spans="1:12" x14ac:dyDescent="0.25">
      <c r="A70" t="s">
        <v>113</v>
      </c>
      <c r="B70" t="s">
        <v>18</v>
      </c>
      <c r="C70">
        <v>12</v>
      </c>
      <c r="D70">
        <v>0</v>
      </c>
      <c r="E70">
        <v>4</v>
      </c>
      <c r="G70">
        <v>12</v>
      </c>
      <c r="H70">
        <v>4</v>
      </c>
      <c r="I70">
        <f t="shared" si="4"/>
        <v>1</v>
      </c>
      <c r="J70">
        <f t="shared" si="5"/>
        <v>1</v>
      </c>
      <c r="K70">
        <f t="shared" si="6"/>
        <v>0</v>
      </c>
      <c r="L70">
        <f t="shared" si="7"/>
        <v>0</v>
      </c>
    </row>
    <row r="71" spans="1:12" x14ac:dyDescent="0.25">
      <c r="A71" t="s">
        <v>114</v>
      </c>
      <c r="B71" t="s">
        <v>18</v>
      </c>
      <c r="C71">
        <v>16</v>
      </c>
      <c r="D71">
        <v>0</v>
      </c>
      <c r="E71">
        <v>8</v>
      </c>
      <c r="G71">
        <v>16</v>
      </c>
      <c r="H71">
        <v>8</v>
      </c>
      <c r="I71">
        <f t="shared" si="4"/>
        <v>1</v>
      </c>
      <c r="J71">
        <f t="shared" si="5"/>
        <v>1</v>
      </c>
      <c r="K71">
        <f t="shared" si="6"/>
        <v>0</v>
      </c>
      <c r="L71">
        <f t="shared" si="7"/>
        <v>0</v>
      </c>
    </row>
    <row r="72" spans="1:12" x14ac:dyDescent="0.25">
      <c r="A72" t="s">
        <v>115</v>
      </c>
      <c r="B72" t="s">
        <v>18</v>
      </c>
      <c r="C72">
        <v>16</v>
      </c>
      <c r="D72">
        <v>4</v>
      </c>
      <c r="E72">
        <v>9</v>
      </c>
      <c r="G72">
        <v>20</v>
      </c>
      <c r="H72">
        <v>9</v>
      </c>
      <c r="I72">
        <f t="shared" si="4"/>
        <v>1</v>
      </c>
      <c r="J72">
        <f t="shared" si="5"/>
        <v>1</v>
      </c>
      <c r="K72">
        <f t="shared" si="6"/>
        <v>0</v>
      </c>
      <c r="L72">
        <f t="shared" si="7"/>
        <v>1</v>
      </c>
    </row>
    <row r="73" spans="1:12" x14ac:dyDescent="0.25">
      <c r="A73" t="s">
        <v>116</v>
      </c>
      <c r="B73" t="s">
        <v>18</v>
      </c>
      <c r="C73">
        <v>12</v>
      </c>
      <c r="D73">
        <v>10</v>
      </c>
      <c r="E73">
        <v>12</v>
      </c>
      <c r="G73">
        <v>22</v>
      </c>
      <c r="H73">
        <v>12</v>
      </c>
      <c r="I73">
        <f t="shared" si="4"/>
        <v>1</v>
      </c>
      <c r="J73">
        <f t="shared" si="5"/>
        <v>1</v>
      </c>
      <c r="K73">
        <f t="shared" si="6"/>
        <v>0</v>
      </c>
      <c r="L73">
        <f t="shared" si="7"/>
        <v>1</v>
      </c>
    </row>
    <row r="74" spans="1:12" x14ac:dyDescent="0.25">
      <c r="A74" t="s">
        <v>117</v>
      </c>
      <c r="B74" t="s">
        <v>18</v>
      </c>
      <c r="C74">
        <v>16</v>
      </c>
      <c r="D74">
        <v>26</v>
      </c>
      <c r="E74">
        <v>8</v>
      </c>
      <c r="G74">
        <v>42</v>
      </c>
      <c r="H74">
        <v>8</v>
      </c>
      <c r="I74">
        <f t="shared" si="4"/>
        <v>1</v>
      </c>
      <c r="J74">
        <f t="shared" si="5"/>
        <v>1</v>
      </c>
      <c r="K74">
        <f t="shared" si="6"/>
        <v>0</v>
      </c>
      <c r="L74">
        <f t="shared" si="7"/>
        <v>1</v>
      </c>
    </row>
    <row r="75" spans="1:12" x14ac:dyDescent="0.25">
      <c r="A75" t="s">
        <v>118</v>
      </c>
      <c r="B75" t="s">
        <v>18</v>
      </c>
      <c r="C75">
        <v>6</v>
      </c>
      <c r="D75">
        <v>0</v>
      </c>
      <c r="E75">
        <v>6</v>
      </c>
      <c r="G75">
        <v>6</v>
      </c>
      <c r="H75">
        <v>6</v>
      </c>
      <c r="I75">
        <f t="shared" si="4"/>
        <v>1</v>
      </c>
      <c r="J75">
        <f t="shared" si="5"/>
        <v>1</v>
      </c>
      <c r="K75">
        <f t="shared" si="6"/>
        <v>0</v>
      </c>
      <c r="L75">
        <f t="shared" si="7"/>
        <v>0</v>
      </c>
    </row>
    <row r="76" spans="1:12" x14ac:dyDescent="0.25">
      <c r="A76" t="s">
        <v>119</v>
      </c>
      <c r="B76" t="s">
        <v>18</v>
      </c>
      <c r="C76">
        <v>9</v>
      </c>
      <c r="D76">
        <v>0</v>
      </c>
      <c r="E76">
        <v>10</v>
      </c>
      <c r="G76">
        <v>9</v>
      </c>
      <c r="H76">
        <v>10</v>
      </c>
      <c r="I76">
        <f t="shared" si="4"/>
        <v>1</v>
      </c>
      <c r="J76">
        <f t="shared" si="5"/>
        <v>1</v>
      </c>
      <c r="K76">
        <f t="shared" si="6"/>
        <v>0</v>
      </c>
      <c r="L76">
        <f t="shared" si="7"/>
        <v>0</v>
      </c>
    </row>
    <row r="77" spans="1:12" x14ac:dyDescent="0.25">
      <c r="A77" t="s">
        <v>120</v>
      </c>
      <c r="B77" t="s">
        <v>18</v>
      </c>
      <c r="C77">
        <v>14</v>
      </c>
      <c r="D77">
        <v>0</v>
      </c>
      <c r="E77">
        <v>4</v>
      </c>
      <c r="G77">
        <v>14</v>
      </c>
      <c r="H77">
        <v>4</v>
      </c>
      <c r="I77">
        <f t="shared" si="4"/>
        <v>1</v>
      </c>
      <c r="J77">
        <f t="shared" si="5"/>
        <v>1</v>
      </c>
      <c r="K77">
        <f t="shared" si="6"/>
        <v>0</v>
      </c>
      <c r="L77">
        <f t="shared" si="7"/>
        <v>0</v>
      </c>
    </row>
    <row r="78" spans="1:12" x14ac:dyDescent="0.25">
      <c r="A78" t="s">
        <v>121</v>
      </c>
      <c r="B78" t="s">
        <v>122</v>
      </c>
      <c r="C78">
        <v>12</v>
      </c>
      <c r="E78">
        <v>12</v>
      </c>
      <c r="F78">
        <v>6</v>
      </c>
      <c r="G78">
        <v>12</v>
      </c>
      <c r="H78">
        <v>18</v>
      </c>
      <c r="I78">
        <f t="shared" si="4"/>
        <v>1</v>
      </c>
      <c r="J78">
        <f t="shared" si="5"/>
        <v>1</v>
      </c>
      <c r="K78">
        <f t="shared" si="6"/>
        <v>1</v>
      </c>
      <c r="L78">
        <f t="shared" si="7"/>
        <v>0</v>
      </c>
    </row>
    <row r="79" spans="1:12" x14ac:dyDescent="0.25">
      <c r="A79" t="s">
        <v>123</v>
      </c>
      <c r="B79" t="s">
        <v>122</v>
      </c>
      <c r="C79">
        <v>16</v>
      </c>
      <c r="D79">
        <v>34</v>
      </c>
      <c r="E79">
        <v>16</v>
      </c>
      <c r="G79">
        <v>50</v>
      </c>
      <c r="H79">
        <v>16</v>
      </c>
      <c r="I79">
        <f t="shared" si="4"/>
        <v>1</v>
      </c>
      <c r="J79">
        <f t="shared" si="5"/>
        <v>1</v>
      </c>
      <c r="K79">
        <f t="shared" si="6"/>
        <v>0</v>
      </c>
      <c r="L79">
        <f t="shared" si="7"/>
        <v>1</v>
      </c>
    </row>
    <row r="80" spans="1:12" x14ac:dyDescent="0.25">
      <c r="A80" t="s">
        <v>124</v>
      </c>
      <c r="B80" t="s">
        <v>21</v>
      </c>
      <c r="C80">
        <v>18</v>
      </c>
      <c r="D80">
        <v>12</v>
      </c>
      <c r="E80">
        <v>12</v>
      </c>
      <c r="G80">
        <v>30</v>
      </c>
      <c r="H80">
        <v>12</v>
      </c>
      <c r="I80">
        <f t="shared" si="4"/>
        <v>1</v>
      </c>
      <c r="J80">
        <f t="shared" si="5"/>
        <v>1</v>
      </c>
      <c r="K80">
        <f t="shared" si="6"/>
        <v>0</v>
      </c>
      <c r="L80">
        <f t="shared" si="7"/>
        <v>1</v>
      </c>
    </row>
    <row r="81" spans="1:12" x14ac:dyDescent="0.25">
      <c r="A81" t="s">
        <v>125</v>
      </c>
      <c r="B81" t="s">
        <v>21</v>
      </c>
      <c r="C81">
        <v>6</v>
      </c>
      <c r="D81">
        <v>9.5</v>
      </c>
      <c r="E81">
        <v>6</v>
      </c>
      <c r="G81">
        <v>15.5</v>
      </c>
      <c r="H81">
        <v>6</v>
      </c>
      <c r="I81">
        <f t="shared" si="4"/>
        <v>1</v>
      </c>
      <c r="J81">
        <f t="shared" si="5"/>
        <v>1</v>
      </c>
      <c r="K81">
        <f t="shared" si="6"/>
        <v>0</v>
      </c>
      <c r="L81">
        <f t="shared" si="7"/>
        <v>1</v>
      </c>
    </row>
    <row r="82" spans="1:12" x14ac:dyDescent="0.25">
      <c r="A82" t="s">
        <v>126</v>
      </c>
      <c r="B82" t="s">
        <v>127</v>
      </c>
      <c r="C82">
        <v>16</v>
      </c>
      <c r="D82">
        <v>24</v>
      </c>
      <c r="E82">
        <v>8</v>
      </c>
      <c r="G82">
        <v>40</v>
      </c>
      <c r="H82">
        <v>8</v>
      </c>
      <c r="I82">
        <f t="shared" si="4"/>
        <v>1</v>
      </c>
      <c r="J82">
        <f t="shared" si="5"/>
        <v>1</v>
      </c>
      <c r="K82">
        <f t="shared" si="6"/>
        <v>0</v>
      </c>
      <c r="L82">
        <f t="shared" si="7"/>
        <v>1</v>
      </c>
    </row>
    <row r="83" spans="1:12" x14ac:dyDescent="0.25">
      <c r="A83" t="s">
        <v>128</v>
      </c>
      <c r="B83" t="s">
        <v>127</v>
      </c>
      <c r="C83">
        <v>21</v>
      </c>
      <c r="D83">
        <v>31</v>
      </c>
      <c r="E83">
        <v>16</v>
      </c>
      <c r="G83">
        <v>52</v>
      </c>
      <c r="H83">
        <v>16</v>
      </c>
      <c r="I83">
        <f t="shared" si="4"/>
        <v>1</v>
      </c>
      <c r="J83">
        <f t="shared" si="5"/>
        <v>1</v>
      </c>
      <c r="K83">
        <f t="shared" si="6"/>
        <v>0</v>
      </c>
      <c r="L83">
        <f t="shared" si="7"/>
        <v>1</v>
      </c>
    </row>
    <row r="84" spans="1:12" x14ac:dyDescent="0.25">
      <c r="A84" t="s">
        <v>129</v>
      </c>
      <c r="B84" t="s">
        <v>127</v>
      </c>
      <c r="C84">
        <v>16</v>
      </c>
      <c r="D84">
        <v>4</v>
      </c>
      <c r="E84">
        <v>8</v>
      </c>
      <c r="G84">
        <v>20</v>
      </c>
      <c r="H84">
        <v>8</v>
      </c>
      <c r="I84">
        <f t="shared" si="4"/>
        <v>1</v>
      </c>
      <c r="J84">
        <f t="shared" si="5"/>
        <v>1</v>
      </c>
      <c r="K84">
        <f t="shared" si="6"/>
        <v>0</v>
      </c>
      <c r="L84">
        <f t="shared" si="7"/>
        <v>1</v>
      </c>
    </row>
    <row r="85" spans="1:12" x14ac:dyDescent="0.25">
      <c r="A85" t="s">
        <v>130</v>
      </c>
      <c r="B85" t="s">
        <v>131</v>
      </c>
      <c r="C85">
        <v>18</v>
      </c>
      <c r="D85">
        <v>18</v>
      </c>
      <c r="F85">
        <v>13</v>
      </c>
      <c r="G85">
        <v>36</v>
      </c>
      <c r="H85">
        <v>13</v>
      </c>
      <c r="I85">
        <f t="shared" si="4"/>
        <v>1</v>
      </c>
      <c r="J85">
        <f t="shared" si="5"/>
        <v>0</v>
      </c>
      <c r="K85">
        <f t="shared" si="6"/>
        <v>1</v>
      </c>
      <c r="L85">
        <f t="shared" si="7"/>
        <v>1</v>
      </c>
    </row>
    <row r="86" spans="1:12" x14ac:dyDescent="0.25">
      <c r="A86" t="s">
        <v>132</v>
      </c>
      <c r="B86" t="s">
        <v>133</v>
      </c>
      <c r="C86">
        <v>12</v>
      </c>
      <c r="D86">
        <v>0</v>
      </c>
      <c r="E86">
        <v>8</v>
      </c>
      <c r="G86">
        <v>12</v>
      </c>
      <c r="H86">
        <v>8</v>
      </c>
      <c r="I86">
        <f t="shared" si="4"/>
        <v>1</v>
      </c>
      <c r="J86">
        <f t="shared" si="5"/>
        <v>1</v>
      </c>
      <c r="K86">
        <f t="shared" si="6"/>
        <v>0</v>
      </c>
      <c r="L86">
        <f t="shared" si="7"/>
        <v>0</v>
      </c>
    </row>
    <row r="87" spans="1:12" x14ac:dyDescent="0.25">
      <c r="A87" t="s">
        <v>134</v>
      </c>
      <c r="B87" t="s">
        <v>23</v>
      </c>
      <c r="C87">
        <v>7.5</v>
      </c>
      <c r="D87">
        <v>3</v>
      </c>
      <c r="E87">
        <v>3</v>
      </c>
      <c r="G87">
        <v>10.5</v>
      </c>
      <c r="H87">
        <v>3</v>
      </c>
      <c r="I87">
        <f t="shared" si="4"/>
        <v>1</v>
      </c>
      <c r="J87">
        <f t="shared" si="5"/>
        <v>1</v>
      </c>
      <c r="K87">
        <f t="shared" si="6"/>
        <v>0</v>
      </c>
      <c r="L87">
        <f t="shared" si="7"/>
        <v>1</v>
      </c>
    </row>
    <row r="88" spans="1:12" x14ac:dyDescent="0.25">
      <c r="A88" t="s">
        <v>135</v>
      </c>
      <c r="B88" t="s">
        <v>26</v>
      </c>
      <c r="C88">
        <v>6</v>
      </c>
      <c r="D88">
        <v>6</v>
      </c>
      <c r="E88">
        <v>0</v>
      </c>
      <c r="G88">
        <v>12</v>
      </c>
      <c r="H88">
        <v>0</v>
      </c>
      <c r="I88">
        <f t="shared" si="4"/>
        <v>1</v>
      </c>
      <c r="J88">
        <f t="shared" si="5"/>
        <v>0</v>
      </c>
      <c r="K88">
        <f t="shared" si="6"/>
        <v>0</v>
      </c>
      <c r="L88">
        <f t="shared" si="7"/>
        <v>1</v>
      </c>
    </row>
    <row r="89" spans="1:12" x14ac:dyDescent="0.25">
      <c r="A89" t="s">
        <v>136</v>
      </c>
      <c r="B89" t="s">
        <v>26</v>
      </c>
      <c r="C89">
        <v>6</v>
      </c>
      <c r="D89">
        <v>6</v>
      </c>
      <c r="E89">
        <v>6</v>
      </c>
      <c r="G89">
        <v>12</v>
      </c>
      <c r="H89">
        <v>6</v>
      </c>
      <c r="I89">
        <f t="shared" si="4"/>
        <v>1</v>
      </c>
      <c r="J89">
        <f t="shared" si="5"/>
        <v>1</v>
      </c>
      <c r="K89">
        <f t="shared" si="6"/>
        <v>0</v>
      </c>
      <c r="L89">
        <f t="shared" si="7"/>
        <v>1</v>
      </c>
    </row>
    <row r="90" spans="1:12" x14ac:dyDescent="0.25">
      <c r="A90" t="s">
        <v>137</v>
      </c>
      <c r="B90" t="s">
        <v>26</v>
      </c>
      <c r="C90">
        <v>6</v>
      </c>
      <c r="D90">
        <v>6</v>
      </c>
      <c r="E90">
        <v>1</v>
      </c>
      <c r="G90">
        <v>12</v>
      </c>
      <c r="H90">
        <v>1</v>
      </c>
      <c r="I90">
        <f t="shared" si="4"/>
        <v>1</v>
      </c>
      <c r="J90">
        <f t="shared" si="5"/>
        <v>1</v>
      </c>
      <c r="K90">
        <f t="shared" si="6"/>
        <v>0</v>
      </c>
      <c r="L90">
        <f t="shared" si="7"/>
        <v>1</v>
      </c>
    </row>
    <row r="91" spans="1:12" x14ac:dyDescent="0.25">
      <c r="A91" t="s">
        <v>138</v>
      </c>
      <c r="B91" t="s">
        <v>139</v>
      </c>
      <c r="C91">
        <v>12</v>
      </c>
      <c r="D91">
        <v>0</v>
      </c>
      <c r="E91">
        <v>12</v>
      </c>
      <c r="G91">
        <v>12</v>
      </c>
      <c r="H91">
        <v>12</v>
      </c>
      <c r="I91">
        <f t="shared" si="4"/>
        <v>1</v>
      </c>
      <c r="J91">
        <f t="shared" si="5"/>
        <v>1</v>
      </c>
      <c r="K91">
        <f t="shared" si="6"/>
        <v>0</v>
      </c>
      <c r="L91">
        <f t="shared" si="7"/>
        <v>0</v>
      </c>
    </row>
    <row r="92" spans="1:12" x14ac:dyDescent="0.25">
      <c r="A92" t="s">
        <v>140</v>
      </c>
      <c r="B92" t="s">
        <v>28</v>
      </c>
      <c r="C92">
        <v>2</v>
      </c>
      <c r="D92">
        <v>12</v>
      </c>
      <c r="E92">
        <v>2</v>
      </c>
      <c r="G92">
        <v>14</v>
      </c>
      <c r="H92">
        <v>2</v>
      </c>
      <c r="I92">
        <f t="shared" si="4"/>
        <v>1</v>
      </c>
      <c r="J92">
        <f t="shared" si="5"/>
        <v>1</v>
      </c>
      <c r="K92">
        <f t="shared" si="6"/>
        <v>0</v>
      </c>
      <c r="L92">
        <f t="shared" si="7"/>
        <v>1</v>
      </c>
    </row>
    <row r="93" spans="1:12" x14ac:dyDescent="0.25">
      <c r="A93" t="s">
        <v>141</v>
      </c>
      <c r="B93" t="s">
        <v>31</v>
      </c>
      <c r="C93">
        <v>16</v>
      </c>
      <c r="E93">
        <v>2</v>
      </c>
      <c r="F93">
        <v>0</v>
      </c>
      <c r="G93">
        <v>16</v>
      </c>
      <c r="H93">
        <v>2</v>
      </c>
      <c r="I93">
        <f t="shared" si="4"/>
        <v>1</v>
      </c>
      <c r="J93">
        <f t="shared" si="5"/>
        <v>1</v>
      </c>
      <c r="K93">
        <f t="shared" si="6"/>
        <v>0</v>
      </c>
      <c r="L93">
        <f t="shared" si="7"/>
        <v>0</v>
      </c>
    </row>
    <row r="94" spans="1:12" x14ac:dyDescent="0.25">
      <c r="A94" t="s">
        <v>142</v>
      </c>
      <c r="B94" t="s">
        <v>31</v>
      </c>
      <c r="C94">
        <v>12</v>
      </c>
      <c r="D94">
        <v>0</v>
      </c>
      <c r="E94">
        <v>18</v>
      </c>
      <c r="G94">
        <v>12</v>
      </c>
      <c r="H94">
        <v>18</v>
      </c>
      <c r="I94">
        <f t="shared" si="4"/>
        <v>1</v>
      </c>
      <c r="J94">
        <f t="shared" si="5"/>
        <v>1</v>
      </c>
      <c r="K94">
        <f t="shared" si="6"/>
        <v>0</v>
      </c>
      <c r="L94">
        <f t="shared" si="7"/>
        <v>0</v>
      </c>
    </row>
    <row r="95" spans="1:12" x14ac:dyDescent="0.25">
      <c r="A95" t="s">
        <v>143</v>
      </c>
      <c r="B95" t="s">
        <v>31</v>
      </c>
      <c r="C95">
        <v>11</v>
      </c>
      <c r="D95">
        <v>6</v>
      </c>
      <c r="E95">
        <v>16</v>
      </c>
      <c r="G95">
        <v>17</v>
      </c>
      <c r="H95">
        <v>16</v>
      </c>
      <c r="I95">
        <f t="shared" si="4"/>
        <v>1</v>
      </c>
      <c r="J95">
        <f t="shared" si="5"/>
        <v>1</v>
      </c>
      <c r="K95">
        <f t="shared" si="6"/>
        <v>0</v>
      </c>
      <c r="L95">
        <f t="shared" si="7"/>
        <v>1</v>
      </c>
    </row>
    <row r="96" spans="1:12" x14ac:dyDescent="0.25">
      <c r="A96" t="s">
        <v>144</v>
      </c>
      <c r="B96" t="s">
        <v>145</v>
      </c>
      <c r="C96">
        <v>16</v>
      </c>
      <c r="D96">
        <v>0</v>
      </c>
      <c r="E96">
        <v>2</v>
      </c>
      <c r="G96">
        <v>16</v>
      </c>
      <c r="H96">
        <v>2</v>
      </c>
      <c r="I96">
        <f t="shared" si="4"/>
        <v>1</v>
      </c>
      <c r="J96">
        <f t="shared" si="5"/>
        <v>1</v>
      </c>
      <c r="K96">
        <f t="shared" si="6"/>
        <v>0</v>
      </c>
      <c r="L96">
        <f t="shared" si="7"/>
        <v>0</v>
      </c>
    </row>
    <row r="97" spans="1:12" x14ac:dyDescent="0.25">
      <c r="A97" t="s">
        <v>146</v>
      </c>
      <c r="B97" t="s">
        <v>145</v>
      </c>
      <c r="C97">
        <v>16</v>
      </c>
      <c r="D97">
        <v>0</v>
      </c>
      <c r="E97">
        <v>16</v>
      </c>
      <c r="G97">
        <v>16</v>
      </c>
      <c r="H97">
        <v>16</v>
      </c>
      <c r="I97">
        <f t="shared" si="4"/>
        <v>1</v>
      </c>
      <c r="J97">
        <f t="shared" si="5"/>
        <v>1</v>
      </c>
      <c r="K97">
        <f t="shared" si="6"/>
        <v>0</v>
      </c>
      <c r="L97">
        <f t="shared" si="7"/>
        <v>0</v>
      </c>
    </row>
    <row r="98" spans="1:12" x14ac:dyDescent="0.25">
      <c r="A98" t="s">
        <v>147</v>
      </c>
      <c r="B98" t="s">
        <v>148</v>
      </c>
      <c r="C98">
        <v>12</v>
      </c>
      <c r="D98">
        <v>0</v>
      </c>
      <c r="E98">
        <v>12</v>
      </c>
      <c r="G98">
        <v>12</v>
      </c>
      <c r="H98">
        <v>12</v>
      </c>
      <c r="I98">
        <f t="shared" si="4"/>
        <v>1</v>
      </c>
      <c r="J98">
        <f t="shared" si="5"/>
        <v>1</v>
      </c>
      <c r="K98">
        <f t="shared" si="6"/>
        <v>0</v>
      </c>
      <c r="L98">
        <f t="shared" si="7"/>
        <v>0</v>
      </c>
    </row>
    <row r="99" spans="1:12" x14ac:dyDescent="0.25">
      <c r="A99" t="s">
        <v>149</v>
      </c>
      <c r="B99" t="s">
        <v>148</v>
      </c>
      <c r="C99">
        <v>12</v>
      </c>
      <c r="D99">
        <v>4</v>
      </c>
      <c r="E99">
        <v>2</v>
      </c>
      <c r="G99">
        <v>16</v>
      </c>
      <c r="H99">
        <v>2</v>
      </c>
      <c r="I99">
        <f t="shared" si="4"/>
        <v>1</v>
      </c>
      <c r="J99">
        <f t="shared" si="5"/>
        <v>1</v>
      </c>
      <c r="K99">
        <f t="shared" si="6"/>
        <v>0</v>
      </c>
      <c r="L99">
        <f t="shared" si="7"/>
        <v>1</v>
      </c>
    </row>
    <row r="100" spans="1:12" x14ac:dyDescent="0.25">
      <c r="A100" t="s">
        <v>150</v>
      </c>
      <c r="B100" t="s">
        <v>148</v>
      </c>
      <c r="C100">
        <v>8</v>
      </c>
      <c r="D100">
        <v>6</v>
      </c>
      <c r="E100">
        <v>6</v>
      </c>
      <c r="G100">
        <v>14</v>
      </c>
      <c r="H100">
        <v>6</v>
      </c>
      <c r="I100">
        <f t="shared" si="4"/>
        <v>1</v>
      </c>
      <c r="J100">
        <f t="shared" si="5"/>
        <v>1</v>
      </c>
      <c r="K100">
        <f t="shared" si="6"/>
        <v>0</v>
      </c>
      <c r="L100">
        <f t="shared" si="7"/>
        <v>1</v>
      </c>
    </row>
    <row r="101" spans="1:12" x14ac:dyDescent="0.25">
      <c r="A101" t="s">
        <v>151</v>
      </c>
      <c r="B101" t="s">
        <v>148</v>
      </c>
      <c r="C101">
        <v>16</v>
      </c>
      <c r="D101">
        <v>4</v>
      </c>
      <c r="E101">
        <v>4.5</v>
      </c>
      <c r="G101">
        <v>20</v>
      </c>
      <c r="H101">
        <v>4.5</v>
      </c>
      <c r="I101">
        <f t="shared" si="4"/>
        <v>1</v>
      </c>
      <c r="J101">
        <f t="shared" si="5"/>
        <v>1</v>
      </c>
      <c r="K101">
        <f t="shared" si="6"/>
        <v>0</v>
      </c>
      <c r="L101">
        <f t="shared" si="7"/>
        <v>1</v>
      </c>
    </row>
    <row r="102" spans="1:12" x14ac:dyDescent="0.25">
      <c r="A102" t="s">
        <v>152</v>
      </c>
      <c r="B102" t="s">
        <v>148</v>
      </c>
      <c r="C102">
        <v>16</v>
      </c>
      <c r="D102">
        <v>5</v>
      </c>
      <c r="E102">
        <v>16</v>
      </c>
      <c r="G102">
        <v>21</v>
      </c>
      <c r="H102">
        <v>16</v>
      </c>
      <c r="I102">
        <f t="shared" si="4"/>
        <v>1</v>
      </c>
      <c r="J102">
        <f t="shared" si="5"/>
        <v>1</v>
      </c>
      <c r="K102">
        <f t="shared" si="6"/>
        <v>0</v>
      </c>
      <c r="L102">
        <f t="shared" si="7"/>
        <v>1</v>
      </c>
    </row>
    <row r="103" spans="1:12" x14ac:dyDescent="0.25">
      <c r="A103" t="s">
        <v>153</v>
      </c>
      <c r="B103" t="s">
        <v>148</v>
      </c>
      <c r="C103">
        <v>16</v>
      </c>
      <c r="D103">
        <v>4</v>
      </c>
      <c r="E103">
        <v>16</v>
      </c>
      <c r="G103">
        <v>20</v>
      </c>
      <c r="H103">
        <v>16</v>
      </c>
      <c r="I103">
        <f t="shared" si="4"/>
        <v>1</v>
      </c>
      <c r="J103">
        <f t="shared" si="5"/>
        <v>1</v>
      </c>
      <c r="K103">
        <f t="shared" si="6"/>
        <v>0</v>
      </c>
      <c r="L103">
        <f t="shared" si="7"/>
        <v>1</v>
      </c>
    </row>
    <row r="104" spans="1:12" x14ac:dyDescent="0.25">
      <c r="A104" t="s">
        <v>154</v>
      </c>
      <c r="B104" t="s">
        <v>148</v>
      </c>
      <c r="C104">
        <v>20</v>
      </c>
      <c r="D104">
        <v>3</v>
      </c>
      <c r="E104">
        <v>20</v>
      </c>
      <c r="G104">
        <v>23</v>
      </c>
      <c r="H104">
        <v>20</v>
      </c>
      <c r="I104">
        <f t="shared" si="4"/>
        <v>1</v>
      </c>
      <c r="J104">
        <f t="shared" si="5"/>
        <v>1</v>
      </c>
      <c r="K104">
        <f t="shared" si="6"/>
        <v>0</v>
      </c>
      <c r="L104">
        <f t="shared" si="7"/>
        <v>1</v>
      </c>
    </row>
    <row r="105" spans="1:12" x14ac:dyDescent="0.25">
      <c r="A105" t="s">
        <v>155</v>
      </c>
      <c r="B105" t="s">
        <v>148</v>
      </c>
      <c r="C105">
        <v>16</v>
      </c>
      <c r="D105">
        <v>0</v>
      </c>
      <c r="E105">
        <v>6</v>
      </c>
      <c r="G105">
        <v>16</v>
      </c>
      <c r="H105">
        <v>6</v>
      </c>
      <c r="I105">
        <f t="shared" si="4"/>
        <v>1</v>
      </c>
      <c r="J105">
        <f t="shared" si="5"/>
        <v>1</v>
      </c>
      <c r="K105">
        <f t="shared" si="6"/>
        <v>0</v>
      </c>
      <c r="L105">
        <f t="shared" si="7"/>
        <v>0</v>
      </c>
    </row>
    <row r="106" spans="1:12" x14ac:dyDescent="0.25">
      <c r="A106" t="s">
        <v>156</v>
      </c>
      <c r="B106" t="s">
        <v>148</v>
      </c>
      <c r="C106">
        <v>10</v>
      </c>
      <c r="D106">
        <v>6</v>
      </c>
      <c r="E106">
        <v>10</v>
      </c>
      <c r="G106">
        <v>16</v>
      </c>
      <c r="H106">
        <v>10</v>
      </c>
      <c r="I106">
        <f t="shared" si="4"/>
        <v>1</v>
      </c>
      <c r="J106">
        <f t="shared" si="5"/>
        <v>1</v>
      </c>
      <c r="K106">
        <f t="shared" si="6"/>
        <v>0</v>
      </c>
      <c r="L106">
        <f t="shared" si="7"/>
        <v>1</v>
      </c>
    </row>
    <row r="107" spans="1:12" x14ac:dyDescent="0.25">
      <c r="A107" t="s">
        <v>157</v>
      </c>
      <c r="B107" t="s">
        <v>148</v>
      </c>
      <c r="C107">
        <v>16</v>
      </c>
      <c r="D107">
        <v>0</v>
      </c>
      <c r="E107">
        <v>4</v>
      </c>
      <c r="G107">
        <v>16</v>
      </c>
      <c r="H107">
        <v>4</v>
      </c>
      <c r="I107">
        <f t="shared" si="4"/>
        <v>1</v>
      </c>
      <c r="J107">
        <f t="shared" si="5"/>
        <v>1</v>
      </c>
      <c r="K107">
        <f t="shared" si="6"/>
        <v>0</v>
      </c>
      <c r="L107">
        <f t="shared" si="7"/>
        <v>0</v>
      </c>
    </row>
    <row r="108" spans="1:12" x14ac:dyDescent="0.25">
      <c r="A108" t="s">
        <v>158</v>
      </c>
      <c r="B108" t="s">
        <v>148</v>
      </c>
      <c r="C108">
        <v>11.5</v>
      </c>
      <c r="D108">
        <v>10</v>
      </c>
      <c r="E108">
        <v>4</v>
      </c>
      <c r="G108">
        <v>21.5</v>
      </c>
      <c r="H108">
        <v>4</v>
      </c>
      <c r="I108">
        <f t="shared" si="4"/>
        <v>1</v>
      </c>
      <c r="J108">
        <f t="shared" si="5"/>
        <v>1</v>
      </c>
      <c r="K108">
        <f t="shared" si="6"/>
        <v>0</v>
      </c>
      <c r="L108">
        <f t="shared" si="7"/>
        <v>1</v>
      </c>
    </row>
    <row r="109" spans="1:12" x14ac:dyDescent="0.25">
      <c r="A109" t="s">
        <v>159</v>
      </c>
      <c r="B109" t="s">
        <v>148</v>
      </c>
      <c r="C109">
        <v>12</v>
      </c>
      <c r="D109">
        <v>0</v>
      </c>
      <c r="E109">
        <v>12</v>
      </c>
      <c r="G109">
        <v>12</v>
      </c>
      <c r="H109">
        <v>12</v>
      </c>
      <c r="I109">
        <f t="shared" si="4"/>
        <v>1</v>
      </c>
      <c r="J109">
        <f t="shared" si="5"/>
        <v>1</v>
      </c>
      <c r="K109">
        <f t="shared" si="6"/>
        <v>0</v>
      </c>
      <c r="L109">
        <f t="shared" si="7"/>
        <v>0</v>
      </c>
    </row>
    <row r="110" spans="1:12" x14ac:dyDescent="0.25">
      <c r="A110" t="s">
        <v>160</v>
      </c>
      <c r="B110" t="s">
        <v>148</v>
      </c>
      <c r="C110">
        <v>24</v>
      </c>
      <c r="D110">
        <v>24</v>
      </c>
      <c r="E110">
        <v>20</v>
      </c>
      <c r="G110">
        <v>48</v>
      </c>
      <c r="H110">
        <v>20</v>
      </c>
      <c r="I110">
        <f t="shared" si="4"/>
        <v>1</v>
      </c>
      <c r="J110">
        <f t="shared" si="5"/>
        <v>1</v>
      </c>
      <c r="K110">
        <f t="shared" si="6"/>
        <v>0</v>
      </c>
      <c r="L110">
        <f t="shared" si="7"/>
        <v>1</v>
      </c>
    </row>
    <row r="111" spans="1:12" x14ac:dyDescent="0.25">
      <c r="A111" t="s">
        <v>161</v>
      </c>
      <c r="B111" t="s">
        <v>148</v>
      </c>
      <c r="C111">
        <v>16</v>
      </c>
      <c r="D111">
        <v>5</v>
      </c>
      <c r="E111">
        <v>4</v>
      </c>
      <c r="G111">
        <v>21</v>
      </c>
      <c r="H111">
        <v>4</v>
      </c>
      <c r="I111">
        <f t="shared" si="4"/>
        <v>1</v>
      </c>
      <c r="J111">
        <f t="shared" si="5"/>
        <v>1</v>
      </c>
      <c r="K111">
        <f t="shared" si="6"/>
        <v>0</v>
      </c>
      <c r="L111">
        <f t="shared" si="7"/>
        <v>1</v>
      </c>
    </row>
    <row r="112" spans="1:12" x14ac:dyDescent="0.25">
      <c r="A112" t="s">
        <v>162</v>
      </c>
      <c r="B112" t="s">
        <v>148</v>
      </c>
      <c r="C112">
        <v>18</v>
      </c>
      <c r="D112">
        <v>0</v>
      </c>
      <c r="E112">
        <v>2</v>
      </c>
      <c r="G112">
        <v>18</v>
      </c>
      <c r="H112">
        <v>2</v>
      </c>
      <c r="I112">
        <f t="shared" si="4"/>
        <v>1</v>
      </c>
      <c r="J112">
        <f t="shared" si="5"/>
        <v>1</v>
      </c>
      <c r="K112">
        <f t="shared" si="6"/>
        <v>0</v>
      </c>
      <c r="L112">
        <f t="shared" si="7"/>
        <v>0</v>
      </c>
    </row>
    <row r="113" spans="1:12" x14ac:dyDescent="0.25">
      <c r="A113" t="s">
        <v>163</v>
      </c>
      <c r="B113" t="s">
        <v>164</v>
      </c>
      <c r="C113">
        <v>4</v>
      </c>
      <c r="D113">
        <v>5</v>
      </c>
      <c r="E113">
        <v>2</v>
      </c>
      <c r="G113">
        <v>9</v>
      </c>
      <c r="H113">
        <v>2</v>
      </c>
      <c r="I113">
        <f t="shared" si="4"/>
        <v>1</v>
      </c>
      <c r="J113">
        <f t="shared" si="5"/>
        <v>1</v>
      </c>
      <c r="K113">
        <f t="shared" si="6"/>
        <v>0</v>
      </c>
      <c r="L113">
        <f t="shared" si="7"/>
        <v>1</v>
      </c>
    </row>
    <row r="114" spans="1:12" x14ac:dyDescent="0.25">
      <c r="A114" t="s">
        <v>165</v>
      </c>
      <c r="B114" t="s">
        <v>166</v>
      </c>
      <c r="C114">
        <v>12</v>
      </c>
      <c r="D114">
        <v>0</v>
      </c>
      <c r="E114">
        <v>6</v>
      </c>
      <c r="G114">
        <v>12</v>
      </c>
      <c r="H114">
        <v>6</v>
      </c>
      <c r="I114">
        <f t="shared" si="4"/>
        <v>1</v>
      </c>
      <c r="J114">
        <f t="shared" si="5"/>
        <v>1</v>
      </c>
      <c r="K114">
        <f t="shared" si="6"/>
        <v>0</v>
      </c>
      <c r="L114">
        <f t="shared" si="7"/>
        <v>0</v>
      </c>
    </row>
    <row r="115" spans="1:12" x14ac:dyDescent="0.25">
      <c r="A115" t="s">
        <v>167</v>
      </c>
      <c r="B115" t="s">
        <v>166</v>
      </c>
      <c r="C115">
        <v>16</v>
      </c>
      <c r="D115">
        <v>13</v>
      </c>
      <c r="E115">
        <v>16</v>
      </c>
      <c r="G115">
        <v>29</v>
      </c>
      <c r="H115">
        <v>16</v>
      </c>
      <c r="I115">
        <f t="shared" si="4"/>
        <v>1</v>
      </c>
      <c r="J115">
        <f t="shared" si="5"/>
        <v>1</v>
      </c>
      <c r="K115">
        <f t="shared" si="6"/>
        <v>0</v>
      </c>
      <c r="L115">
        <f t="shared" si="7"/>
        <v>1</v>
      </c>
    </row>
    <row r="116" spans="1:12" x14ac:dyDescent="0.25">
      <c r="A116" t="s">
        <v>168</v>
      </c>
      <c r="B116" t="s">
        <v>166</v>
      </c>
      <c r="C116">
        <v>28</v>
      </c>
      <c r="D116">
        <v>0</v>
      </c>
      <c r="E116">
        <v>16</v>
      </c>
      <c r="G116">
        <v>28</v>
      </c>
      <c r="H116">
        <v>16</v>
      </c>
      <c r="I116">
        <f t="shared" si="4"/>
        <v>1</v>
      </c>
      <c r="J116">
        <f t="shared" si="5"/>
        <v>1</v>
      </c>
      <c r="K116">
        <f t="shared" si="6"/>
        <v>0</v>
      </c>
      <c r="L116">
        <f t="shared" si="7"/>
        <v>0</v>
      </c>
    </row>
    <row r="117" spans="1:12" x14ac:dyDescent="0.25">
      <c r="A117" t="s">
        <v>169</v>
      </c>
      <c r="B117" t="s">
        <v>170</v>
      </c>
      <c r="C117">
        <v>14</v>
      </c>
      <c r="D117">
        <v>0</v>
      </c>
      <c r="E117">
        <v>4</v>
      </c>
      <c r="G117">
        <v>14</v>
      </c>
      <c r="H117">
        <v>4</v>
      </c>
      <c r="I117">
        <f t="shared" si="4"/>
        <v>1</v>
      </c>
      <c r="J117">
        <f t="shared" si="5"/>
        <v>1</v>
      </c>
      <c r="K117">
        <f t="shared" si="6"/>
        <v>0</v>
      </c>
      <c r="L117">
        <f t="shared" si="7"/>
        <v>0</v>
      </c>
    </row>
    <row r="118" spans="1:12" x14ac:dyDescent="0.25">
      <c r="A118" t="s">
        <v>171</v>
      </c>
      <c r="B118" t="s">
        <v>172</v>
      </c>
      <c r="C118">
        <v>6</v>
      </c>
      <c r="D118">
        <v>12</v>
      </c>
      <c r="E118">
        <v>4</v>
      </c>
      <c r="G118">
        <v>18</v>
      </c>
      <c r="H118">
        <v>4</v>
      </c>
      <c r="I118">
        <f t="shared" si="4"/>
        <v>1</v>
      </c>
      <c r="J118">
        <f t="shared" si="5"/>
        <v>1</v>
      </c>
      <c r="K118">
        <f t="shared" si="6"/>
        <v>0</v>
      </c>
      <c r="L118">
        <f t="shared" si="7"/>
        <v>1</v>
      </c>
    </row>
    <row r="119" spans="1:12" x14ac:dyDescent="0.25">
      <c r="A119" t="s">
        <v>173</v>
      </c>
      <c r="B119" t="s">
        <v>174</v>
      </c>
      <c r="C119">
        <v>6</v>
      </c>
      <c r="D119">
        <v>3</v>
      </c>
      <c r="E119">
        <v>6</v>
      </c>
      <c r="G119">
        <v>9</v>
      </c>
      <c r="H119">
        <v>6</v>
      </c>
      <c r="I119">
        <f t="shared" si="4"/>
        <v>1</v>
      </c>
      <c r="J119">
        <f t="shared" si="5"/>
        <v>1</v>
      </c>
      <c r="K119">
        <f t="shared" si="6"/>
        <v>0</v>
      </c>
      <c r="L119">
        <f t="shared" si="7"/>
        <v>1</v>
      </c>
    </row>
    <row r="120" spans="1:12" x14ac:dyDescent="0.25">
      <c r="A120" t="s">
        <v>175</v>
      </c>
      <c r="B120" t="s">
        <v>174</v>
      </c>
      <c r="C120">
        <v>11.5</v>
      </c>
      <c r="D120">
        <v>1</v>
      </c>
      <c r="E120">
        <v>3</v>
      </c>
      <c r="G120">
        <v>12.5</v>
      </c>
      <c r="H120">
        <v>3</v>
      </c>
      <c r="I120">
        <f t="shared" si="4"/>
        <v>1</v>
      </c>
      <c r="J120">
        <f t="shared" si="5"/>
        <v>1</v>
      </c>
      <c r="K120">
        <f t="shared" si="6"/>
        <v>0</v>
      </c>
      <c r="L120">
        <f t="shared" si="7"/>
        <v>1</v>
      </c>
    </row>
    <row r="121" spans="1:12" x14ac:dyDescent="0.25">
      <c r="A121" t="s">
        <v>176</v>
      </c>
      <c r="B121" t="s">
        <v>40</v>
      </c>
      <c r="C121">
        <v>4</v>
      </c>
      <c r="D121">
        <v>4</v>
      </c>
      <c r="E121">
        <v>4</v>
      </c>
      <c r="G121">
        <v>8</v>
      </c>
      <c r="H121">
        <v>4</v>
      </c>
      <c r="I121">
        <f t="shared" si="4"/>
        <v>1</v>
      </c>
      <c r="J121">
        <f t="shared" si="5"/>
        <v>1</v>
      </c>
      <c r="K121">
        <f t="shared" si="6"/>
        <v>0</v>
      </c>
      <c r="L121">
        <f t="shared" si="7"/>
        <v>1</v>
      </c>
    </row>
    <row r="122" spans="1:12" x14ac:dyDescent="0.25">
      <c r="A122" t="s">
        <v>177</v>
      </c>
      <c r="B122" t="s">
        <v>40</v>
      </c>
      <c r="C122">
        <v>4</v>
      </c>
      <c r="D122">
        <v>12</v>
      </c>
      <c r="E122">
        <v>0</v>
      </c>
      <c r="G122">
        <v>16</v>
      </c>
      <c r="H122">
        <v>0</v>
      </c>
      <c r="I122">
        <f t="shared" si="4"/>
        <v>1</v>
      </c>
      <c r="J122">
        <f t="shared" si="5"/>
        <v>0</v>
      </c>
      <c r="K122">
        <f t="shared" si="6"/>
        <v>0</v>
      </c>
      <c r="L122">
        <f t="shared" si="7"/>
        <v>1</v>
      </c>
    </row>
    <row r="123" spans="1:12" x14ac:dyDescent="0.25">
      <c r="A123" t="s">
        <v>178</v>
      </c>
      <c r="B123" t="s">
        <v>42</v>
      </c>
      <c r="C123">
        <v>0</v>
      </c>
      <c r="D123">
        <v>12</v>
      </c>
      <c r="F123">
        <v>0</v>
      </c>
      <c r="G123">
        <v>12</v>
      </c>
      <c r="H123">
        <v>0</v>
      </c>
      <c r="I123">
        <f t="shared" si="4"/>
        <v>0</v>
      </c>
      <c r="J123">
        <f t="shared" si="5"/>
        <v>0</v>
      </c>
      <c r="K123">
        <f t="shared" si="6"/>
        <v>0</v>
      </c>
      <c r="L123">
        <f t="shared" si="7"/>
        <v>1</v>
      </c>
    </row>
    <row r="124" spans="1:12" x14ac:dyDescent="0.25">
      <c r="A124" t="s">
        <v>179</v>
      </c>
      <c r="B124" t="s">
        <v>42</v>
      </c>
      <c r="C124">
        <v>5</v>
      </c>
      <c r="D124">
        <v>6.5</v>
      </c>
      <c r="E124">
        <v>0</v>
      </c>
      <c r="G124">
        <v>11.5</v>
      </c>
      <c r="H124">
        <v>0</v>
      </c>
      <c r="I124">
        <f t="shared" si="4"/>
        <v>1</v>
      </c>
      <c r="J124">
        <f t="shared" si="5"/>
        <v>0</v>
      </c>
      <c r="K124">
        <f t="shared" si="6"/>
        <v>0</v>
      </c>
      <c r="L124">
        <f t="shared" si="7"/>
        <v>1</v>
      </c>
    </row>
    <row r="125" spans="1:12" x14ac:dyDescent="0.25">
      <c r="A125" t="s">
        <v>180</v>
      </c>
      <c r="B125" t="s">
        <v>42</v>
      </c>
      <c r="C125">
        <v>0</v>
      </c>
      <c r="D125">
        <v>12</v>
      </c>
      <c r="E125">
        <v>0</v>
      </c>
      <c r="G125">
        <v>12</v>
      </c>
      <c r="H125">
        <v>0</v>
      </c>
      <c r="I125">
        <f t="shared" si="4"/>
        <v>0</v>
      </c>
      <c r="J125">
        <f t="shared" si="5"/>
        <v>0</v>
      </c>
      <c r="K125">
        <f t="shared" si="6"/>
        <v>0</v>
      </c>
      <c r="L125">
        <f t="shared" si="7"/>
        <v>1</v>
      </c>
    </row>
    <row r="126" spans="1:12" x14ac:dyDescent="0.25">
      <c r="A126" t="s">
        <v>181</v>
      </c>
      <c r="B126" t="s">
        <v>42</v>
      </c>
      <c r="C126">
        <v>2</v>
      </c>
      <c r="D126">
        <v>6</v>
      </c>
      <c r="E126">
        <v>2</v>
      </c>
      <c r="G126">
        <v>8</v>
      </c>
      <c r="H126">
        <v>2</v>
      </c>
      <c r="I126">
        <f t="shared" si="4"/>
        <v>1</v>
      </c>
      <c r="J126">
        <f t="shared" si="5"/>
        <v>1</v>
      </c>
      <c r="K126">
        <f t="shared" si="6"/>
        <v>0</v>
      </c>
      <c r="L126">
        <f t="shared" si="7"/>
        <v>1</v>
      </c>
    </row>
    <row r="127" spans="1:12" x14ac:dyDescent="0.25">
      <c r="A127" t="s">
        <v>182</v>
      </c>
      <c r="B127" t="s">
        <v>183</v>
      </c>
      <c r="C127">
        <v>6</v>
      </c>
      <c r="D127">
        <v>0</v>
      </c>
      <c r="F127">
        <v>0</v>
      </c>
      <c r="G127">
        <v>6</v>
      </c>
      <c r="H127">
        <v>0</v>
      </c>
      <c r="I127">
        <f t="shared" si="4"/>
        <v>1</v>
      </c>
      <c r="J127">
        <f t="shared" si="5"/>
        <v>0</v>
      </c>
      <c r="K127">
        <f t="shared" si="6"/>
        <v>0</v>
      </c>
      <c r="L127">
        <f t="shared" si="7"/>
        <v>0</v>
      </c>
    </row>
    <row r="128" spans="1:12" x14ac:dyDescent="0.25">
      <c r="A128" t="s">
        <v>184</v>
      </c>
      <c r="B128" t="s">
        <v>185</v>
      </c>
      <c r="C128">
        <v>6</v>
      </c>
      <c r="D128">
        <v>12</v>
      </c>
      <c r="E128">
        <v>6</v>
      </c>
      <c r="G128">
        <v>18</v>
      </c>
      <c r="H128">
        <v>6</v>
      </c>
      <c r="I128">
        <f t="shared" si="4"/>
        <v>1</v>
      </c>
      <c r="J128">
        <f t="shared" si="5"/>
        <v>1</v>
      </c>
      <c r="K128">
        <f t="shared" si="6"/>
        <v>0</v>
      </c>
      <c r="L128">
        <f t="shared" si="7"/>
        <v>1</v>
      </c>
    </row>
    <row r="129" spans="1:12" x14ac:dyDescent="0.25">
      <c r="A129" t="s">
        <v>186</v>
      </c>
      <c r="B129" t="s">
        <v>185</v>
      </c>
      <c r="C129">
        <v>12</v>
      </c>
      <c r="D129">
        <v>2</v>
      </c>
      <c r="E129">
        <v>0</v>
      </c>
      <c r="G129">
        <v>14</v>
      </c>
      <c r="H129">
        <v>0</v>
      </c>
      <c r="I129">
        <f t="shared" si="4"/>
        <v>1</v>
      </c>
      <c r="J129">
        <f t="shared" si="5"/>
        <v>0</v>
      </c>
      <c r="K129">
        <f t="shared" si="6"/>
        <v>0</v>
      </c>
      <c r="L129">
        <f t="shared" si="7"/>
        <v>1</v>
      </c>
    </row>
    <row r="130" spans="1:12" x14ac:dyDescent="0.25">
      <c r="A130" t="s">
        <v>187</v>
      </c>
      <c r="B130" t="s">
        <v>185</v>
      </c>
      <c r="C130">
        <v>8</v>
      </c>
      <c r="D130">
        <v>4</v>
      </c>
      <c r="E130">
        <v>6</v>
      </c>
      <c r="G130">
        <v>12</v>
      </c>
      <c r="H130">
        <v>6</v>
      </c>
      <c r="I130">
        <f t="shared" si="4"/>
        <v>1</v>
      </c>
      <c r="J130">
        <f t="shared" si="5"/>
        <v>1</v>
      </c>
      <c r="K130">
        <f t="shared" si="6"/>
        <v>0</v>
      </c>
      <c r="L130">
        <f t="shared" si="7"/>
        <v>1</v>
      </c>
    </row>
    <row r="131" spans="1:12" x14ac:dyDescent="0.25">
      <c r="A131" t="s">
        <v>188</v>
      </c>
      <c r="B131" t="s">
        <v>189</v>
      </c>
      <c r="C131">
        <v>30</v>
      </c>
      <c r="D131">
        <v>15</v>
      </c>
      <c r="E131">
        <v>30</v>
      </c>
      <c r="G131">
        <v>45</v>
      </c>
      <c r="H131">
        <v>30</v>
      </c>
      <c r="I131">
        <f t="shared" ref="I131:I194" si="8">IF(C131&gt;0, 1, 0)</f>
        <v>1</v>
      </c>
      <c r="J131">
        <f t="shared" ref="J131:J194" si="9">IF(E131&gt;0, 1,0)</f>
        <v>1</v>
      </c>
      <c r="K131">
        <f t="shared" ref="K131:K194" si="10">IF(F131&gt;0, 1, 0)</f>
        <v>0</v>
      </c>
      <c r="L131">
        <f t="shared" ref="L131:L194" si="11">IF(D131&gt;0, 1, 0)</f>
        <v>1</v>
      </c>
    </row>
    <row r="132" spans="1:12" x14ac:dyDescent="0.25">
      <c r="A132" t="s">
        <v>190</v>
      </c>
      <c r="B132" t="s">
        <v>191</v>
      </c>
      <c r="C132">
        <v>12</v>
      </c>
      <c r="D132">
        <v>0</v>
      </c>
      <c r="E132">
        <v>4</v>
      </c>
      <c r="G132">
        <v>12</v>
      </c>
      <c r="H132">
        <v>4</v>
      </c>
      <c r="I132">
        <f t="shared" si="8"/>
        <v>1</v>
      </c>
      <c r="J132">
        <f t="shared" si="9"/>
        <v>1</v>
      </c>
      <c r="K132">
        <f t="shared" si="10"/>
        <v>0</v>
      </c>
      <c r="L132">
        <f t="shared" si="11"/>
        <v>0</v>
      </c>
    </row>
    <row r="133" spans="1:12" x14ac:dyDescent="0.25">
      <c r="A133" t="s">
        <v>192</v>
      </c>
      <c r="B133" t="s">
        <v>191</v>
      </c>
      <c r="C133">
        <v>8</v>
      </c>
      <c r="D133">
        <v>8</v>
      </c>
      <c r="E133">
        <v>8</v>
      </c>
      <c r="G133">
        <v>16</v>
      </c>
      <c r="H133">
        <v>8</v>
      </c>
      <c r="I133">
        <f t="shared" si="8"/>
        <v>1</v>
      </c>
      <c r="J133">
        <f t="shared" si="9"/>
        <v>1</v>
      </c>
      <c r="K133">
        <f t="shared" si="10"/>
        <v>0</v>
      </c>
      <c r="L133">
        <f t="shared" si="11"/>
        <v>1</v>
      </c>
    </row>
    <row r="134" spans="1:12" x14ac:dyDescent="0.25">
      <c r="A134" t="s">
        <v>193</v>
      </c>
      <c r="B134" t="s">
        <v>194</v>
      </c>
      <c r="C134">
        <v>12</v>
      </c>
      <c r="D134">
        <v>12</v>
      </c>
      <c r="F134">
        <v>29</v>
      </c>
      <c r="G134">
        <v>24</v>
      </c>
      <c r="H134">
        <v>29</v>
      </c>
      <c r="I134">
        <f t="shared" si="8"/>
        <v>1</v>
      </c>
      <c r="J134">
        <f t="shared" si="9"/>
        <v>0</v>
      </c>
      <c r="K134">
        <f t="shared" si="10"/>
        <v>1</v>
      </c>
      <c r="L134">
        <f t="shared" si="11"/>
        <v>1</v>
      </c>
    </row>
    <row r="135" spans="1:12" x14ac:dyDescent="0.25">
      <c r="A135" t="s">
        <v>195</v>
      </c>
      <c r="B135" t="s">
        <v>194</v>
      </c>
      <c r="C135">
        <v>6</v>
      </c>
      <c r="D135">
        <v>9</v>
      </c>
      <c r="E135">
        <v>6</v>
      </c>
      <c r="G135">
        <v>15</v>
      </c>
      <c r="H135">
        <v>6</v>
      </c>
      <c r="I135">
        <f t="shared" si="8"/>
        <v>1</v>
      </c>
      <c r="J135">
        <f t="shared" si="9"/>
        <v>1</v>
      </c>
      <c r="K135">
        <f t="shared" si="10"/>
        <v>0</v>
      </c>
      <c r="L135">
        <f t="shared" si="11"/>
        <v>1</v>
      </c>
    </row>
    <row r="136" spans="1:12" x14ac:dyDescent="0.25">
      <c r="A136" t="s">
        <v>196</v>
      </c>
      <c r="B136" t="s">
        <v>197</v>
      </c>
      <c r="C136">
        <v>4</v>
      </c>
      <c r="D136">
        <v>0</v>
      </c>
      <c r="E136">
        <v>4</v>
      </c>
      <c r="G136">
        <v>4</v>
      </c>
      <c r="H136">
        <v>4</v>
      </c>
      <c r="I136">
        <f t="shared" si="8"/>
        <v>1</v>
      </c>
      <c r="J136">
        <f t="shared" si="9"/>
        <v>1</v>
      </c>
      <c r="K136">
        <f t="shared" si="10"/>
        <v>0</v>
      </c>
      <c r="L136">
        <f t="shared" si="11"/>
        <v>0</v>
      </c>
    </row>
    <row r="137" spans="1:12" x14ac:dyDescent="0.25">
      <c r="A137" t="s">
        <v>198</v>
      </c>
      <c r="B137" t="s">
        <v>199</v>
      </c>
      <c r="C137">
        <v>4</v>
      </c>
      <c r="D137">
        <v>4</v>
      </c>
      <c r="F137">
        <v>2</v>
      </c>
      <c r="G137">
        <v>8</v>
      </c>
      <c r="H137">
        <v>2</v>
      </c>
      <c r="I137">
        <f t="shared" si="8"/>
        <v>1</v>
      </c>
      <c r="J137">
        <f t="shared" si="9"/>
        <v>0</v>
      </c>
      <c r="K137">
        <f t="shared" si="10"/>
        <v>1</v>
      </c>
      <c r="L137">
        <f t="shared" si="11"/>
        <v>1</v>
      </c>
    </row>
    <row r="138" spans="1:12" x14ac:dyDescent="0.25">
      <c r="A138" t="s">
        <v>200</v>
      </c>
      <c r="B138" t="s">
        <v>201</v>
      </c>
      <c r="C138">
        <v>12</v>
      </c>
      <c r="D138">
        <v>0</v>
      </c>
      <c r="E138">
        <v>3</v>
      </c>
      <c r="G138">
        <v>12</v>
      </c>
      <c r="H138">
        <v>3</v>
      </c>
      <c r="I138">
        <f t="shared" si="8"/>
        <v>1</v>
      </c>
      <c r="J138">
        <f t="shared" si="9"/>
        <v>1</v>
      </c>
      <c r="K138">
        <f t="shared" si="10"/>
        <v>0</v>
      </c>
      <c r="L138">
        <f t="shared" si="11"/>
        <v>0</v>
      </c>
    </row>
    <row r="139" spans="1:12" x14ac:dyDescent="0.25">
      <c r="A139" t="s">
        <v>202</v>
      </c>
      <c r="B139" t="s">
        <v>203</v>
      </c>
      <c r="C139">
        <v>10</v>
      </c>
      <c r="D139">
        <v>10</v>
      </c>
      <c r="F139">
        <v>10</v>
      </c>
      <c r="G139">
        <v>20</v>
      </c>
      <c r="H139">
        <v>10</v>
      </c>
      <c r="I139">
        <f t="shared" si="8"/>
        <v>1</v>
      </c>
      <c r="J139">
        <f t="shared" si="9"/>
        <v>0</v>
      </c>
      <c r="K139">
        <f t="shared" si="10"/>
        <v>1</v>
      </c>
      <c r="L139">
        <f t="shared" si="11"/>
        <v>1</v>
      </c>
    </row>
    <row r="140" spans="1:12" x14ac:dyDescent="0.25">
      <c r="A140" t="s">
        <v>204</v>
      </c>
      <c r="B140" t="s">
        <v>203</v>
      </c>
      <c r="C140">
        <v>4</v>
      </c>
      <c r="D140">
        <v>8</v>
      </c>
      <c r="E140">
        <v>0</v>
      </c>
      <c r="G140">
        <v>12</v>
      </c>
      <c r="H140">
        <v>0</v>
      </c>
      <c r="I140">
        <f t="shared" si="8"/>
        <v>1</v>
      </c>
      <c r="J140">
        <f t="shared" si="9"/>
        <v>0</v>
      </c>
      <c r="K140">
        <f t="shared" si="10"/>
        <v>0</v>
      </c>
      <c r="L140">
        <f t="shared" si="11"/>
        <v>1</v>
      </c>
    </row>
    <row r="141" spans="1:12" x14ac:dyDescent="0.25">
      <c r="A141" t="s">
        <v>205</v>
      </c>
      <c r="B141" t="s">
        <v>44</v>
      </c>
      <c r="C141">
        <v>4</v>
      </c>
      <c r="D141">
        <v>0</v>
      </c>
      <c r="E141">
        <v>4</v>
      </c>
      <c r="G141">
        <v>4</v>
      </c>
      <c r="H141">
        <v>4</v>
      </c>
      <c r="I141">
        <f t="shared" si="8"/>
        <v>1</v>
      </c>
      <c r="J141">
        <f t="shared" si="9"/>
        <v>1</v>
      </c>
      <c r="K141">
        <f t="shared" si="10"/>
        <v>0</v>
      </c>
      <c r="L141">
        <f t="shared" si="11"/>
        <v>0</v>
      </c>
    </row>
    <row r="142" spans="1:12" x14ac:dyDescent="0.25">
      <c r="A142" t="s">
        <v>206</v>
      </c>
      <c r="B142" t="s">
        <v>44</v>
      </c>
      <c r="C142">
        <v>5</v>
      </c>
      <c r="D142">
        <v>6</v>
      </c>
      <c r="E142">
        <v>4</v>
      </c>
      <c r="G142">
        <v>11</v>
      </c>
      <c r="H142">
        <v>4</v>
      </c>
      <c r="I142">
        <f t="shared" si="8"/>
        <v>1</v>
      </c>
      <c r="J142">
        <f t="shared" si="9"/>
        <v>1</v>
      </c>
      <c r="K142">
        <f t="shared" si="10"/>
        <v>0</v>
      </c>
      <c r="L142">
        <f t="shared" si="11"/>
        <v>1</v>
      </c>
    </row>
    <row r="143" spans="1:12" x14ac:dyDescent="0.25">
      <c r="A143" t="s">
        <v>207</v>
      </c>
      <c r="B143" t="s">
        <v>44</v>
      </c>
      <c r="C143">
        <v>6</v>
      </c>
      <c r="D143">
        <v>6</v>
      </c>
      <c r="E143">
        <v>4</v>
      </c>
      <c r="G143">
        <v>12</v>
      </c>
      <c r="H143">
        <v>4</v>
      </c>
      <c r="I143">
        <f t="shared" si="8"/>
        <v>1</v>
      </c>
      <c r="J143">
        <f t="shared" si="9"/>
        <v>1</v>
      </c>
      <c r="K143">
        <f t="shared" si="10"/>
        <v>0</v>
      </c>
      <c r="L143">
        <f t="shared" si="11"/>
        <v>1</v>
      </c>
    </row>
    <row r="144" spans="1:12" x14ac:dyDescent="0.25">
      <c r="A144" t="s">
        <v>208</v>
      </c>
      <c r="B144" t="s">
        <v>44</v>
      </c>
      <c r="C144">
        <v>12</v>
      </c>
      <c r="D144">
        <v>10</v>
      </c>
      <c r="E144">
        <v>6</v>
      </c>
      <c r="G144">
        <v>22</v>
      </c>
      <c r="H144">
        <v>6</v>
      </c>
      <c r="I144">
        <f t="shared" si="8"/>
        <v>1</v>
      </c>
      <c r="J144">
        <f t="shared" si="9"/>
        <v>1</v>
      </c>
      <c r="K144">
        <f t="shared" si="10"/>
        <v>0</v>
      </c>
      <c r="L144">
        <f t="shared" si="11"/>
        <v>1</v>
      </c>
    </row>
    <row r="145" spans="1:12" x14ac:dyDescent="0.25">
      <c r="A145" t="s">
        <v>209</v>
      </c>
      <c r="B145" t="s">
        <v>44</v>
      </c>
      <c r="C145">
        <v>12</v>
      </c>
      <c r="D145">
        <v>2</v>
      </c>
      <c r="E145">
        <v>4</v>
      </c>
      <c r="G145">
        <v>14</v>
      </c>
      <c r="H145">
        <v>4</v>
      </c>
      <c r="I145">
        <f t="shared" si="8"/>
        <v>1</v>
      </c>
      <c r="J145">
        <f t="shared" si="9"/>
        <v>1</v>
      </c>
      <c r="K145">
        <f t="shared" si="10"/>
        <v>0</v>
      </c>
      <c r="L145">
        <f t="shared" si="11"/>
        <v>1</v>
      </c>
    </row>
    <row r="146" spans="1:12" x14ac:dyDescent="0.25">
      <c r="A146" t="s">
        <v>210</v>
      </c>
      <c r="B146" t="s">
        <v>44</v>
      </c>
      <c r="C146">
        <v>6</v>
      </c>
      <c r="D146">
        <v>0</v>
      </c>
      <c r="E146">
        <v>6</v>
      </c>
      <c r="G146">
        <v>6</v>
      </c>
      <c r="H146">
        <v>6</v>
      </c>
      <c r="I146">
        <f t="shared" si="8"/>
        <v>1</v>
      </c>
      <c r="J146">
        <f t="shared" si="9"/>
        <v>1</v>
      </c>
      <c r="K146">
        <f t="shared" si="10"/>
        <v>0</v>
      </c>
      <c r="L146">
        <f t="shared" si="11"/>
        <v>0</v>
      </c>
    </row>
    <row r="147" spans="1:12" x14ac:dyDescent="0.25">
      <c r="A147" t="s">
        <v>211</v>
      </c>
      <c r="B147" t="s">
        <v>44</v>
      </c>
      <c r="C147">
        <v>6</v>
      </c>
      <c r="D147">
        <v>9</v>
      </c>
      <c r="E147">
        <v>6</v>
      </c>
      <c r="G147">
        <v>15</v>
      </c>
      <c r="H147">
        <v>6</v>
      </c>
      <c r="I147">
        <f t="shared" si="8"/>
        <v>1</v>
      </c>
      <c r="J147">
        <f t="shared" si="9"/>
        <v>1</v>
      </c>
      <c r="K147">
        <f t="shared" si="10"/>
        <v>0</v>
      </c>
      <c r="L147">
        <f t="shared" si="11"/>
        <v>1</v>
      </c>
    </row>
    <row r="148" spans="1:12" x14ac:dyDescent="0.25">
      <c r="A148" t="s">
        <v>212</v>
      </c>
      <c r="B148" t="s">
        <v>213</v>
      </c>
      <c r="C148">
        <v>16</v>
      </c>
      <c r="D148">
        <v>4</v>
      </c>
      <c r="E148">
        <v>4</v>
      </c>
      <c r="G148">
        <v>20</v>
      </c>
      <c r="H148">
        <v>4</v>
      </c>
      <c r="I148">
        <f t="shared" si="8"/>
        <v>1</v>
      </c>
      <c r="J148">
        <f t="shared" si="9"/>
        <v>1</v>
      </c>
      <c r="K148">
        <f t="shared" si="10"/>
        <v>0</v>
      </c>
      <c r="L148">
        <f t="shared" si="11"/>
        <v>1</v>
      </c>
    </row>
    <row r="149" spans="1:12" x14ac:dyDescent="0.25">
      <c r="A149" t="s">
        <v>214</v>
      </c>
      <c r="B149" t="s">
        <v>215</v>
      </c>
      <c r="C149">
        <v>8</v>
      </c>
      <c r="D149">
        <v>12</v>
      </c>
      <c r="E149">
        <v>1</v>
      </c>
      <c r="G149">
        <v>20</v>
      </c>
      <c r="H149">
        <v>1</v>
      </c>
      <c r="I149">
        <f t="shared" si="8"/>
        <v>1</v>
      </c>
      <c r="J149">
        <f t="shared" si="9"/>
        <v>1</v>
      </c>
      <c r="K149">
        <f t="shared" si="10"/>
        <v>0</v>
      </c>
      <c r="L149">
        <f t="shared" si="11"/>
        <v>1</v>
      </c>
    </row>
    <row r="150" spans="1:12" x14ac:dyDescent="0.25">
      <c r="A150" t="s">
        <v>216</v>
      </c>
      <c r="B150" t="s">
        <v>215</v>
      </c>
      <c r="C150">
        <v>32.5</v>
      </c>
      <c r="D150">
        <v>0</v>
      </c>
      <c r="E150">
        <v>35</v>
      </c>
      <c r="G150">
        <v>32.5</v>
      </c>
      <c r="H150">
        <v>35</v>
      </c>
      <c r="I150">
        <f t="shared" si="8"/>
        <v>1</v>
      </c>
      <c r="J150">
        <f t="shared" si="9"/>
        <v>1</v>
      </c>
      <c r="K150">
        <f t="shared" si="10"/>
        <v>0</v>
      </c>
      <c r="L150">
        <f t="shared" si="11"/>
        <v>0</v>
      </c>
    </row>
    <row r="151" spans="1:12" x14ac:dyDescent="0.25">
      <c r="A151" t="s">
        <v>217</v>
      </c>
      <c r="B151" t="s">
        <v>218</v>
      </c>
      <c r="C151">
        <v>18</v>
      </c>
      <c r="D151">
        <v>0</v>
      </c>
      <c r="E151">
        <v>23</v>
      </c>
      <c r="G151">
        <v>18</v>
      </c>
      <c r="H151">
        <v>23</v>
      </c>
      <c r="I151">
        <f t="shared" si="8"/>
        <v>1</v>
      </c>
      <c r="J151">
        <f t="shared" si="9"/>
        <v>1</v>
      </c>
      <c r="K151">
        <f t="shared" si="10"/>
        <v>0</v>
      </c>
      <c r="L151">
        <f t="shared" si="11"/>
        <v>0</v>
      </c>
    </row>
    <row r="152" spans="1:12" x14ac:dyDescent="0.25">
      <c r="A152" t="s">
        <v>219</v>
      </c>
      <c r="B152" t="s">
        <v>220</v>
      </c>
      <c r="C152">
        <v>9</v>
      </c>
      <c r="D152">
        <v>36</v>
      </c>
      <c r="E152">
        <v>1</v>
      </c>
      <c r="G152">
        <v>45</v>
      </c>
      <c r="H152">
        <v>1</v>
      </c>
      <c r="I152">
        <f t="shared" si="8"/>
        <v>1</v>
      </c>
      <c r="J152">
        <f t="shared" si="9"/>
        <v>1</v>
      </c>
      <c r="K152">
        <f t="shared" si="10"/>
        <v>0</v>
      </c>
      <c r="L152">
        <f t="shared" si="11"/>
        <v>1</v>
      </c>
    </row>
    <row r="153" spans="1:12" x14ac:dyDescent="0.25">
      <c r="A153" t="s">
        <v>221</v>
      </c>
      <c r="B153" t="s">
        <v>220</v>
      </c>
      <c r="C153">
        <v>15</v>
      </c>
      <c r="D153">
        <v>6</v>
      </c>
      <c r="E153">
        <v>2</v>
      </c>
      <c r="G153">
        <v>21</v>
      </c>
      <c r="H153">
        <v>2</v>
      </c>
      <c r="I153">
        <f t="shared" si="8"/>
        <v>1</v>
      </c>
      <c r="J153">
        <f t="shared" si="9"/>
        <v>1</v>
      </c>
      <c r="K153">
        <f t="shared" si="10"/>
        <v>0</v>
      </c>
      <c r="L153">
        <f t="shared" si="11"/>
        <v>1</v>
      </c>
    </row>
    <row r="154" spans="1:12" x14ac:dyDescent="0.25">
      <c r="A154" t="s">
        <v>222</v>
      </c>
      <c r="B154" t="s">
        <v>220</v>
      </c>
      <c r="C154">
        <v>2</v>
      </c>
      <c r="D154">
        <v>19</v>
      </c>
      <c r="E154">
        <v>1</v>
      </c>
      <c r="G154">
        <v>21</v>
      </c>
      <c r="H154">
        <v>1</v>
      </c>
      <c r="I154">
        <f t="shared" si="8"/>
        <v>1</v>
      </c>
      <c r="J154">
        <f t="shared" si="9"/>
        <v>1</v>
      </c>
      <c r="K154">
        <f t="shared" si="10"/>
        <v>0</v>
      </c>
      <c r="L154">
        <f t="shared" si="11"/>
        <v>1</v>
      </c>
    </row>
    <row r="155" spans="1:12" x14ac:dyDescent="0.25">
      <c r="A155" t="s">
        <v>223</v>
      </c>
      <c r="B155" t="s">
        <v>224</v>
      </c>
      <c r="C155">
        <v>8</v>
      </c>
      <c r="D155">
        <v>8</v>
      </c>
      <c r="E155">
        <v>6</v>
      </c>
      <c r="G155">
        <v>16</v>
      </c>
      <c r="H155">
        <v>6</v>
      </c>
      <c r="I155">
        <f t="shared" si="8"/>
        <v>1</v>
      </c>
      <c r="J155">
        <f t="shared" si="9"/>
        <v>1</v>
      </c>
      <c r="K155">
        <f t="shared" si="10"/>
        <v>0</v>
      </c>
      <c r="L155">
        <f t="shared" si="11"/>
        <v>1</v>
      </c>
    </row>
    <row r="156" spans="1:12" x14ac:dyDescent="0.25">
      <c r="A156" t="s">
        <v>225</v>
      </c>
      <c r="B156" t="s">
        <v>46</v>
      </c>
      <c r="C156">
        <v>12</v>
      </c>
      <c r="D156">
        <v>12</v>
      </c>
      <c r="E156">
        <v>4</v>
      </c>
      <c r="G156">
        <v>24</v>
      </c>
      <c r="H156">
        <v>4</v>
      </c>
      <c r="I156">
        <f t="shared" si="8"/>
        <v>1</v>
      </c>
      <c r="J156">
        <f t="shared" si="9"/>
        <v>1</v>
      </c>
      <c r="K156">
        <f t="shared" si="10"/>
        <v>0</v>
      </c>
      <c r="L156">
        <f t="shared" si="11"/>
        <v>1</v>
      </c>
    </row>
    <row r="157" spans="1:12" x14ac:dyDescent="0.25">
      <c r="A157" t="s">
        <v>226</v>
      </c>
      <c r="B157" t="s">
        <v>46</v>
      </c>
      <c r="C157">
        <v>6</v>
      </c>
      <c r="D157">
        <v>3</v>
      </c>
      <c r="F157">
        <v>6</v>
      </c>
      <c r="G157">
        <v>9</v>
      </c>
      <c r="H157">
        <v>6</v>
      </c>
      <c r="I157">
        <f t="shared" si="8"/>
        <v>1</v>
      </c>
      <c r="J157">
        <f t="shared" si="9"/>
        <v>0</v>
      </c>
      <c r="K157">
        <f t="shared" si="10"/>
        <v>1</v>
      </c>
      <c r="L157">
        <f t="shared" si="11"/>
        <v>1</v>
      </c>
    </row>
    <row r="158" spans="1:12" x14ac:dyDescent="0.25">
      <c r="A158" t="s">
        <v>227</v>
      </c>
      <c r="B158" t="s">
        <v>46</v>
      </c>
      <c r="C158">
        <v>6</v>
      </c>
      <c r="D158">
        <v>4</v>
      </c>
      <c r="F158">
        <v>4</v>
      </c>
      <c r="G158">
        <v>10</v>
      </c>
      <c r="H158">
        <v>4</v>
      </c>
      <c r="I158">
        <f t="shared" si="8"/>
        <v>1</v>
      </c>
      <c r="J158">
        <f t="shared" si="9"/>
        <v>0</v>
      </c>
      <c r="K158">
        <f t="shared" si="10"/>
        <v>1</v>
      </c>
      <c r="L158">
        <f t="shared" si="11"/>
        <v>1</v>
      </c>
    </row>
    <row r="159" spans="1:12" x14ac:dyDescent="0.25">
      <c r="A159" t="s">
        <v>228</v>
      </c>
      <c r="B159" t="s">
        <v>46</v>
      </c>
      <c r="C159">
        <v>6</v>
      </c>
      <c r="D159">
        <v>6</v>
      </c>
      <c r="E159">
        <v>6</v>
      </c>
      <c r="G159">
        <v>12</v>
      </c>
      <c r="H159">
        <v>6</v>
      </c>
      <c r="I159">
        <f t="shared" si="8"/>
        <v>1</v>
      </c>
      <c r="J159">
        <f t="shared" si="9"/>
        <v>1</v>
      </c>
      <c r="K159">
        <f t="shared" si="10"/>
        <v>0</v>
      </c>
      <c r="L159">
        <f t="shared" si="11"/>
        <v>1</v>
      </c>
    </row>
    <row r="160" spans="1:12" x14ac:dyDescent="0.25">
      <c r="A160" t="s">
        <v>229</v>
      </c>
      <c r="B160" t="s">
        <v>46</v>
      </c>
      <c r="C160">
        <v>3</v>
      </c>
      <c r="D160">
        <v>3</v>
      </c>
      <c r="E160">
        <v>0</v>
      </c>
      <c r="G160">
        <v>6</v>
      </c>
      <c r="H160">
        <v>0</v>
      </c>
      <c r="I160">
        <f t="shared" si="8"/>
        <v>1</v>
      </c>
      <c r="J160">
        <f t="shared" si="9"/>
        <v>0</v>
      </c>
      <c r="K160">
        <f t="shared" si="10"/>
        <v>0</v>
      </c>
      <c r="L160">
        <f t="shared" si="11"/>
        <v>1</v>
      </c>
    </row>
    <row r="161" spans="1:12" x14ac:dyDescent="0.25">
      <c r="A161" t="s">
        <v>230</v>
      </c>
      <c r="B161" t="s">
        <v>231</v>
      </c>
      <c r="C161">
        <v>15</v>
      </c>
      <c r="D161">
        <v>3</v>
      </c>
      <c r="F161">
        <v>0</v>
      </c>
      <c r="G161">
        <v>18</v>
      </c>
      <c r="H161">
        <v>0</v>
      </c>
      <c r="I161">
        <f t="shared" si="8"/>
        <v>1</v>
      </c>
      <c r="J161">
        <f t="shared" si="9"/>
        <v>0</v>
      </c>
      <c r="K161">
        <f t="shared" si="10"/>
        <v>0</v>
      </c>
      <c r="L161">
        <f t="shared" si="11"/>
        <v>1</v>
      </c>
    </row>
    <row r="162" spans="1:12" x14ac:dyDescent="0.25">
      <c r="A162" t="s">
        <v>232</v>
      </c>
      <c r="B162" t="s">
        <v>233</v>
      </c>
      <c r="C162">
        <v>12</v>
      </c>
      <c r="D162">
        <v>0</v>
      </c>
      <c r="E162">
        <v>12</v>
      </c>
      <c r="G162">
        <v>12</v>
      </c>
      <c r="H162">
        <v>12</v>
      </c>
      <c r="I162">
        <f t="shared" si="8"/>
        <v>1</v>
      </c>
      <c r="J162">
        <f t="shared" si="9"/>
        <v>1</v>
      </c>
      <c r="K162">
        <f t="shared" si="10"/>
        <v>0</v>
      </c>
      <c r="L162">
        <f t="shared" si="11"/>
        <v>0</v>
      </c>
    </row>
    <row r="163" spans="1:12" x14ac:dyDescent="0.25">
      <c r="A163" t="s">
        <v>234</v>
      </c>
      <c r="B163" t="s">
        <v>233</v>
      </c>
      <c r="C163">
        <v>9</v>
      </c>
      <c r="D163">
        <v>0</v>
      </c>
      <c r="E163">
        <v>6</v>
      </c>
      <c r="G163">
        <v>9</v>
      </c>
      <c r="H163">
        <v>6</v>
      </c>
      <c r="I163">
        <f t="shared" si="8"/>
        <v>1</v>
      </c>
      <c r="J163">
        <f t="shared" si="9"/>
        <v>1</v>
      </c>
      <c r="K163">
        <f t="shared" si="10"/>
        <v>0</v>
      </c>
      <c r="L163">
        <f t="shared" si="11"/>
        <v>0</v>
      </c>
    </row>
    <row r="164" spans="1:12" x14ac:dyDescent="0.25">
      <c r="A164" t="s">
        <v>235</v>
      </c>
      <c r="B164" t="s">
        <v>233</v>
      </c>
      <c r="C164">
        <v>8</v>
      </c>
      <c r="D164">
        <v>4</v>
      </c>
      <c r="E164">
        <v>2</v>
      </c>
      <c r="G164">
        <v>12</v>
      </c>
      <c r="H164">
        <v>2</v>
      </c>
      <c r="I164">
        <f t="shared" si="8"/>
        <v>1</v>
      </c>
      <c r="J164">
        <f t="shared" si="9"/>
        <v>1</v>
      </c>
      <c r="K164">
        <f t="shared" si="10"/>
        <v>0</v>
      </c>
      <c r="L164">
        <f t="shared" si="11"/>
        <v>1</v>
      </c>
    </row>
    <row r="165" spans="1:12" x14ac:dyDescent="0.25">
      <c r="A165" t="s">
        <v>236</v>
      </c>
      <c r="B165" t="s">
        <v>237</v>
      </c>
      <c r="C165">
        <v>4</v>
      </c>
      <c r="D165">
        <v>8</v>
      </c>
      <c r="E165">
        <v>6</v>
      </c>
      <c r="G165">
        <v>12</v>
      </c>
      <c r="H165">
        <v>6</v>
      </c>
      <c r="I165">
        <f t="shared" si="8"/>
        <v>1</v>
      </c>
      <c r="J165">
        <f t="shared" si="9"/>
        <v>1</v>
      </c>
      <c r="K165">
        <f t="shared" si="10"/>
        <v>0</v>
      </c>
      <c r="L165">
        <f t="shared" si="11"/>
        <v>1</v>
      </c>
    </row>
    <row r="166" spans="1:12" x14ac:dyDescent="0.25">
      <c r="A166" t="s">
        <v>238</v>
      </c>
      <c r="B166" t="s">
        <v>237</v>
      </c>
      <c r="C166">
        <v>23</v>
      </c>
      <c r="D166">
        <v>2</v>
      </c>
      <c r="E166">
        <v>16</v>
      </c>
      <c r="G166">
        <v>25</v>
      </c>
      <c r="H166">
        <v>16</v>
      </c>
      <c r="I166">
        <f t="shared" si="8"/>
        <v>1</v>
      </c>
      <c r="J166">
        <f t="shared" si="9"/>
        <v>1</v>
      </c>
      <c r="K166">
        <f t="shared" si="10"/>
        <v>0</v>
      </c>
      <c r="L166">
        <f t="shared" si="11"/>
        <v>1</v>
      </c>
    </row>
    <row r="167" spans="1:12" x14ac:dyDescent="0.25">
      <c r="A167" t="s">
        <v>239</v>
      </c>
      <c r="B167" t="s">
        <v>240</v>
      </c>
      <c r="C167">
        <v>18</v>
      </c>
      <c r="D167">
        <v>4</v>
      </c>
      <c r="E167">
        <v>12</v>
      </c>
      <c r="G167">
        <v>22</v>
      </c>
      <c r="H167">
        <v>12</v>
      </c>
      <c r="I167">
        <f t="shared" si="8"/>
        <v>1</v>
      </c>
      <c r="J167">
        <f t="shared" si="9"/>
        <v>1</v>
      </c>
      <c r="K167">
        <f t="shared" si="10"/>
        <v>0</v>
      </c>
      <c r="L167">
        <f t="shared" si="11"/>
        <v>1</v>
      </c>
    </row>
    <row r="168" spans="1:12" x14ac:dyDescent="0.25">
      <c r="A168" t="s">
        <v>241</v>
      </c>
      <c r="B168" t="s">
        <v>242</v>
      </c>
      <c r="C168">
        <v>9</v>
      </c>
      <c r="D168">
        <v>2</v>
      </c>
      <c r="E168">
        <v>6</v>
      </c>
      <c r="G168">
        <v>11</v>
      </c>
      <c r="H168">
        <v>6</v>
      </c>
      <c r="I168">
        <f t="shared" si="8"/>
        <v>1</v>
      </c>
      <c r="J168">
        <f t="shared" si="9"/>
        <v>1</v>
      </c>
      <c r="K168">
        <f t="shared" si="10"/>
        <v>0</v>
      </c>
      <c r="L168">
        <f t="shared" si="11"/>
        <v>1</v>
      </c>
    </row>
    <row r="169" spans="1:12" x14ac:dyDescent="0.25">
      <c r="A169" t="s">
        <v>243</v>
      </c>
      <c r="B169" t="s">
        <v>244</v>
      </c>
      <c r="C169">
        <v>12</v>
      </c>
      <c r="D169">
        <v>0</v>
      </c>
      <c r="E169">
        <v>4</v>
      </c>
      <c r="G169">
        <v>12</v>
      </c>
      <c r="H169">
        <v>4</v>
      </c>
      <c r="I169">
        <f t="shared" si="8"/>
        <v>1</v>
      </c>
      <c r="J169">
        <f t="shared" si="9"/>
        <v>1</v>
      </c>
      <c r="K169">
        <f t="shared" si="10"/>
        <v>0</v>
      </c>
      <c r="L169">
        <f t="shared" si="11"/>
        <v>0</v>
      </c>
    </row>
    <row r="170" spans="1:12" x14ac:dyDescent="0.25">
      <c r="A170" t="s">
        <v>245</v>
      </c>
      <c r="B170" t="s">
        <v>246</v>
      </c>
      <c r="C170">
        <v>14</v>
      </c>
      <c r="E170">
        <v>6</v>
      </c>
      <c r="F170">
        <v>0</v>
      </c>
      <c r="G170">
        <v>14</v>
      </c>
      <c r="H170">
        <v>6</v>
      </c>
      <c r="I170">
        <f t="shared" si="8"/>
        <v>1</v>
      </c>
      <c r="J170">
        <f t="shared" si="9"/>
        <v>1</v>
      </c>
      <c r="K170">
        <f t="shared" si="10"/>
        <v>0</v>
      </c>
      <c r="L170">
        <f t="shared" si="11"/>
        <v>0</v>
      </c>
    </row>
    <row r="171" spans="1:12" x14ac:dyDescent="0.25">
      <c r="A171" t="s">
        <v>247</v>
      </c>
      <c r="B171" t="s">
        <v>246</v>
      </c>
      <c r="C171">
        <v>12</v>
      </c>
      <c r="D171">
        <v>0</v>
      </c>
      <c r="F171">
        <v>16</v>
      </c>
      <c r="G171">
        <v>12</v>
      </c>
      <c r="H171">
        <v>16</v>
      </c>
      <c r="I171">
        <f t="shared" si="8"/>
        <v>1</v>
      </c>
      <c r="J171">
        <f t="shared" si="9"/>
        <v>0</v>
      </c>
      <c r="K171">
        <f t="shared" si="10"/>
        <v>1</v>
      </c>
      <c r="L171">
        <f t="shared" si="11"/>
        <v>0</v>
      </c>
    </row>
    <row r="172" spans="1:12" x14ac:dyDescent="0.25">
      <c r="A172" t="s">
        <v>248</v>
      </c>
      <c r="B172" t="s">
        <v>246</v>
      </c>
      <c r="C172">
        <v>6.5</v>
      </c>
      <c r="D172">
        <v>9</v>
      </c>
      <c r="E172">
        <v>0</v>
      </c>
      <c r="G172">
        <v>15.5</v>
      </c>
      <c r="H172">
        <v>0</v>
      </c>
      <c r="I172">
        <f t="shared" si="8"/>
        <v>1</v>
      </c>
      <c r="J172">
        <f t="shared" si="9"/>
        <v>0</v>
      </c>
      <c r="K172">
        <f t="shared" si="10"/>
        <v>0</v>
      </c>
      <c r="L172">
        <f t="shared" si="11"/>
        <v>1</v>
      </c>
    </row>
    <row r="173" spans="1:12" x14ac:dyDescent="0.25">
      <c r="A173" t="s">
        <v>249</v>
      </c>
      <c r="B173" t="s">
        <v>246</v>
      </c>
      <c r="C173">
        <v>10</v>
      </c>
      <c r="D173">
        <v>1</v>
      </c>
      <c r="E173">
        <v>4</v>
      </c>
      <c r="G173">
        <v>11</v>
      </c>
      <c r="H173">
        <v>4</v>
      </c>
      <c r="I173">
        <f t="shared" si="8"/>
        <v>1</v>
      </c>
      <c r="J173">
        <f t="shared" si="9"/>
        <v>1</v>
      </c>
      <c r="K173">
        <f t="shared" si="10"/>
        <v>0</v>
      </c>
      <c r="L173">
        <f t="shared" si="11"/>
        <v>1</v>
      </c>
    </row>
    <row r="174" spans="1:12" x14ac:dyDescent="0.25">
      <c r="A174" t="s">
        <v>250</v>
      </c>
      <c r="B174" t="s">
        <v>246</v>
      </c>
      <c r="C174">
        <v>6</v>
      </c>
      <c r="D174">
        <v>12</v>
      </c>
      <c r="E174">
        <v>6</v>
      </c>
      <c r="G174">
        <v>18</v>
      </c>
      <c r="H174">
        <v>6</v>
      </c>
      <c r="I174">
        <f t="shared" si="8"/>
        <v>1</v>
      </c>
      <c r="J174">
        <f t="shared" si="9"/>
        <v>1</v>
      </c>
      <c r="K174">
        <f t="shared" si="10"/>
        <v>0</v>
      </c>
      <c r="L174">
        <f t="shared" si="11"/>
        <v>1</v>
      </c>
    </row>
    <row r="175" spans="1:12" x14ac:dyDescent="0.25">
      <c r="A175" t="s">
        <v>251</v>
      </c>
      <c r="B175" t="s">
        <v>252</v>
      </c>
      <c r="C175">
        <v>6</v>
      </c>
      <c r="D175">
        <v>0</v>
      </c>
      <c r="E175">
        <v>16</v>
      </c>
      <c r="G175">
        <v>6</v>
      </c>
      <c r="H175">
        <v>16</v>
      </c>
      <c r="I175">
        <f t="shared" si="8"/>
        <v>1</v>
      </c>
      <c r="J175">
        <f t="shared" si="9"/>
        <v>1</v>
      </c>
      <c r="K175">
        <f t="shared" si="10"/>
        <v>0</v>
      </c>
      <c r="L175">
        <f t="shared" si="11"/>
        <v>0</v>
      </c>
    </row>
    <row r="176" spans="1:12" x14ac:dyDescent="0.25">
      <c r="A176" t="s">
        <v>253</v>
      </c>
      <c r="B176" t="s">
        <v>254</v>
      </c>
      <c r="C176">
        <v>3</v>
      </c>
      <c r="D176">
        <v>9</v>
      </c>
      <c r="E176">
        <v>0</v>
      </c>
      <c r="G176">
        <v>12</v>
      </c>
      <c r="H176">
        <v>0</v>
      </c>
      <c r="I176">
        <f t="shared" si="8"/>
        <v>1</v>
      </c>
      <c r="J176">
        <f t="shared" si="9"/>
        <v>0</v>
      </c>
      <c r="K176">
        <f t="shared" si="10"/>
        <v>0</v>
      </c>
      <c r="L176">
        <f t="shared" si="11"/>
        <v>1</v>
      </c>
    </row>
    <row r="177" spans="1:12" x14ac:dyDescent="0.25">
      <c r="A177" t="s">
        <v>255</v>
      </c>
      <c r="B177" t="s">
        <v>256</v>
      </c>
      <c r="C177">
        <v>12</v>
      </c>
      <c r="D177">
        <v>26</v>
      </c>
      <c r="E177">
        <v>8</v>
      </c>
      <c r="G177">
        <v>38</v>
      </c>
      <c r="H177">
        <v>8</v>
      </c>
      <c r="I177">
        <f t="shared" si="8"/>
        <v>1</v>
      </c>
      <c r="J177">
        <f t="shared" si="9"/>
        <v>1</v>
      </c>
      <c r="K177">
        <f t="shared" si="10"/>
        <v>0</v>
      </c>
      <c r="L177">
        <f t="shared" si="11"/>
        <v>1</v>
      </c>
    </row>
    <row r="178" spans="1:12" x14ac:dyDescent="0.25">
      <c r="A178" t="s">
        <v>257</v>
      </c>
      <c r="B178" t="s">
        <v>256</v>
      </c>
      <c r="C178">
        <v>9</v>
      </c>
      <c r="D178">
        <v>12</v>
      </c>
      <c r="E178">
        <v>2</v>
      </c>
      <c r="G178">
        <v>21</v>
      </c>
      <c r="H178">
        <v>2</v>
      </c>
      <c r="I178">
        <f t="shared" si="8"/>
        <v>1</v>
      </c>
      <c r="J178">
        <f t="shared" si="9"/>
        <v>1</v>
      </c>
      <c r="K178">
        <f t="shared" si="10"/>
        <v>0</v>
      </c>
      <c r="L178">
        <f t="shared" si="11"/>
        <v>1</v>
      </c>
    </row>
    <row r="179" spans="1:12" x14ac:dyDescent="0.25">
      <c r="A179" t="s">
        <v>258</v>
      </c>
      <c r="B179" t="s">
        <v>256</v>
      </c>
      <c r="C179">
        <v>9</v>
      </c>
      <c r="D179">
        <v>6</v>
      </c>
      <c r="E179">
        <v>2</v>
      </c>
      <c r="G179">
        <v>15</v>
      </c>
      <c r="H179">
        <v>2</v>
      </c>
      <c r="I179">
        <f t="shared" si="8"/>
        <v>1</v>
      </c>
      <c r="J179">
        <f t="shared" si="9"/>
        <v>1</v>
      </c>
      <c r="K179">
        <f t="shared" si="10"/>
        <v>0</v>
      </c>
      <c r="L179">
        <f t="shared" si="11"/>
        <v>1</v>
      </c>
    </row>
    <row r="180" spans="1:12" x14ac:dyDescent="0.25">
      <c r="A180" t="s">
        <v>259</v>
      </c>
      <c r="B180" t="s">
        <v>260</v>
      </c>
      <c r="C180">
        <v>2</v>
      </c>
      <c r="D180">
        <v>0</v>
      </c>
      <c r="F180">
        <v>12</v>
      </c>
      <c r="G180">
        <v>2</v>
      </c>
      <c r="H180">
        <v>12</v>
      </c>
      <c r="I180">
        <f t="shared" si="8"/>
        <v>1</v>
      </c>
      <c r="J180">
        <f t="shared" si="9"/>
        <v>0</v>
      </c>
      <c r="K180">
        <f t="shared" si="10"/>
        <v>1</v>
      </c>
      <c r="L180">
        <f t="shared" si="11"/>
        <v>0</v>
      </c>
    </row>
    <row r="181" spans="1:12" x14ac:dyDescent="0.25">
      <c r="A181" t="s">
        <v>261</v>
      </c>
      <c r="B181" t="s">
        <v>262</v>
      </c>
      <c r="C181">
        <v>6</v>
      </c>
      <c r="D181">
        <v>12</v>
      </c>
      <c r="E181">
        <v>0</v>
      </c>
      <c r="G181">
        <v>18</v>
      </c>
      <c r="H181">
        <v>0</v>
      </c>
      <c r="I181">
        <f t="shared" si="8"/>
        <v>1</v>
      </c>
      <c r="J181">
        <f t="shared" si="9"/>
        <v>0</v>
      </c>
      <c r="K181">
        <f t="shared" si="10"/>
        <v>0</v>
      </c>
      <c r="L181">
        <f t="shared" si="11"/>
        <v>1</v>
      </c>
    </row>
    <row r="182" spans="1:12" x14ac:dyDescent="0.25">
      <c r="A182" t="s">
        <v>263</v>
      </c>
      <c r="B182" t="s">
        <v>264</v>
      </c>
      <c r="C182">
        <v>12</v>
      </c>
      <c r="D182">
        <v>5</v>
      </c>
      <c r="E182">
        <v>7</v>
      </c>
      <c r="G182">
        <v>17</v>
      </c>
      <c r="H182">
        <v>7</v>
      </c>
      <c r="I182">
        <f t="shared" si="8"/>
        <v>1</v>
      </c>
      <c r="J182">
        <f t="shared" si="9"/>
        <v>1</v>
      </c>
      <c r="K182">
        <f t="shared" si="10"/>
        <v>0</v>
      </c>
      <c r="L182">
        <f t="shared" si="11"/>
        <v>1</v>
      </c>
    </row>
    <row r="183" spans="1:12" x14ac:dyDescent="0.25">
      <c r="A183" t="s">
        <v>265</v>
      </c>
      <c r="B183" t="s">
        <v>266</v>
      </c>
      <c r="C183">
        <v>6</v>
      </c>
      <c r="D183">
        <v>0</v>
      </c>
      <c r="E183">
        <v>6</v>
      </c>
      <c r="G183">
        <v>6</v>
      </c>
      <c r="H183">
        <v>6</v>
      </c>
      <c r="I183">
        <f t="shared" si="8"/>
        <v>1</v>
      </c>
      <c r="J183">
        <f t="shared" si="9"/>
        <v>1</v>
      </c>
      <c r="K183">
        <f t="shared" si="10"/>
        <v>0</v>
      </c>
      <c r="L183">
        <f t="shared" si="11"/>
        <v>0</v>
      </c>
    </row>
    <row r="184" spans="1:12" x14ac:dyDescent="0.25">
      <c r="A184" t="s">
        <v>267</v>
      </c>
      <c r="B184" t="s">
        <v>268</v>
      </c>
      <c r="C184">
        <v>5.5</v>
      </c>
      <c r="D184">
        <v>0</v>
      </c>
      <c r="E184">
        <v>3</v>
      </c>
      <c r="G184">
        <v>5.5</v>
      </c>
      <c r="H184">
        <v>3</v>
      </c>
      <c r="I184">
        <f t="shared" si="8"/>
        <v>1</v>
      </c>
      <c r="J184">
        <f t="shared" si="9"/>
        <v>1</v>
      </c>
      <c r="K184">
        <f t="shared" si="10"/>
        <v>0</v>
      </c>
      <c r="L184">
        <f t="shared" si="11"/>
        <v>0</v>
      </c>
    </row>
    <row r="185" spans="1:12" x14ac:dyDescent="0.25">
      <c r="A185" t="s">
        <v>269</v>
      </c>
      <c r="B185" t="s">
        <v>270</v>
      </c>
      <c r="C185">
        <v>7</v>
      </c>
      <c r="D185">
        <v>0</v>
      </c>
      <c r="E185">
        <v>2</v>
      </c>
      <c r="G185">
        <v>7</v>
      </c>
      <c r="H185">
        <v>2</v>
      </c>
      <c r="I185">
        <f t="shared" si="8"/>
        <v>1</v>
      </c>
      <c r="J185">
        <f t="shared" si="9"/>
        <v>1</v>
      </c>
      <c r="K185">
        <f t="shared" si="10"/>
        <v>0</v>
      </c>
      <c r="L185">
        <f t="shared" si="11"/>
        <v>0</v>
      </c>
    </row>
    <row r="186" spans="1:12" x14ac:dyDescent="0.25">
      <c r="A186" t="s">
        <v>271</v>
      </c>
      <c r="B186" t="s">
        <v>54</v>
      </c>
      <c r="C186">
        <v>8</v>
      </c>
      <c r="D186">
        <v>16</v>
      </c>
      <c r="E186">
        <v>2</v>
      </c>
      <c r="G186">
        <v>24</v>
      </c>
      <c r="H186">
        <v>2</v>
      </c>
      <c r="I186">
        <f t="shared" si="8"/>
        <v>1</v>
      </c>
      <c r="J186">
        <f t="shared" si="9"/>
        <v>1</v>
      </c>
      <c r="K186">
        <f t="shared" si="10"/>
        <v>0</v>
      </c>
      <c r="L186">
        <f t="shared" si="11"/>
        <v>1</v>
      </c>
    </row>
    <row r="187" spans="1:12" x14ac:dyDescent="0.25">
      <c r="A187" t="s">
        <v>272</v>
      </c>
      <c r="B187" t="s">
        <v>54</v>
      </c>
      <c r="C187">
        <v>14</v>
      </c>
      <c r="D187">
        <v>0</v>
      </c>
      <c r="E187">
        <v>8</v>
      </c>
      <c r="G187">
        <v>14</v>
      </c>
      <c r="H187">
        <v>8</v>
      </c>
      <c r="I187">
        <f t="shared" si="8"/>
        <v>1</v>
      </c>
      <c r="J187">
        <f t="shared" si="9"/>
        <v>1</v>
      </c>
      <c r="K187">
        <f t="shared" si="10"/>
        <v>0</v>
      </c>
      <c r="L187">
        <f t="shared" si="11"/>
        <v>0</v>
      </c>
    </row>
    <row r="188" spans="1:12" x14ac:dyDescent="0.25">
      <c r="A188" t="s">
        <v>273</v>
      </c>
      <c r="B188" t="s">
        <v>54</v>
      </c>
      <c r="C188">
        <v>6</v>
      </c>
      <c r="D188">
        <v>0</v>
      </c>
      <c r="E188">
        <v>6</v>
      </c>
      <c r="G188">
        <v>6</v>
      </c>
      <c r="H188">
        <v>6</v>
      </c>
      <c r="I188">
        <f t="shared" si="8"/>
        <v>1</v>
      </c>
      <c r="J188">
        <f t="shared" si="9"/>
        <v>1</v>
      </c>
      <c r="K188">
        <f t="shared" si="10"/>
        <v>0</v>
      </c>
      <c r="L188">
        <f t="shared" si="11"/>
        <v>0</v>
      </c>
    </row>
    <row r="189" spans="1:12" x14ac:dyDescent="0.25">
      <c r="A189" t="s">
        <v>274</v>
      </c>
      <c r="B189" t="s">
        <v>54</v>
      </c>
      <c r="C189">
        <v>16</v>
      </c>
      <c r="D189">
        <v>0</v>
      </c>
      <c r="E189">
        <v>8</v>
      </c>
      <c r="G189">
        <v>16</v>
      </c>
      <c r="H189">
        <v>8</v>
      </c>
      <c r="I189">
        <f t="shared" si="8"/>
        <v>1</v>
      </c>
      <c r="J189">
        <f t="shared" si="9"/>
        <v>1</v>
      </c>
      <c r="K189">
        <f t="shared" si="10"/>
        <v>0</v>
      </c>
      <c r="L189">
        <f t="shared" si="11"/>
        <v>0</v>
      </c>
    </row>
    <row r="190" spans="1:12" x14ac:dyDescent="0.25">
      <c r="A190" t="s">
        <v>275</v>
      </c>
      <c r="B190" t="s">
        <v>276</v>
      </c>
      <c r="C190">
        <v>26</v>
      </c>
      <c r="D190">
        <v>11</v>
      </c>
      <c r="E190">
        <v>26</v>
      </c>
      <c r="G190">
        <v>37</v>
      </c>
      <c r="H190">
        <v>26</v>
      </c>
      <c r="I190">
        <f t="shared" si="8"/>
        <v>1</v>
      </c>
      <c r="J190">
        <f t="shared" si="9"/>
        <v>1</v>
      </c>
      <c r="K190">
        <f t="shared" si="10"/>
        <v>0</v>
      </c>
      <c r="L190">
        <f t="shared" si="11"/>
        <v>1</v>
      </c>
    </row>
    <row r="191" spans="1:12" x14ac:dyDescent="0.25">
      <c r="A191" t="s">
        <v>277</v>
      </c>
      <c r="B191" t="s">
        <v>278</v>
      </c>
      <c r="C191">
        <v>2</v>
      </c>
      <c r="D191">
        <v>40</v>
      </c>
      <c r="E191">
        <v>2</v>
      </c>
      <c r="G191">
        <v>42</v>
      </c>
      <c r="H191">
        <v>2</v>
      </c>
      <c r="I191">
        <f t="shared" si="8"/>
        <v>1</v>
      </c>
      <c r="J191">
        <f t="shared" si="9"/>
        <v>1</v>
      </c>
      <c r="K191">
        <f t="shared" si="10"/>
        <v>0</v>
      </c>
      <c r="L191">
        <f t="shared" si="11"/>
        <v>1</v>
      </c>
    </row>
    <row r="192" spans="1:12" x14ac:dyDescent="0.25">
      <c r="A192" t="s">
        <v>279</v>
      </c>
      <c r="B192" t="s">
        <v>280</v>
      </c>
      <c r="C192">
        <v>39</v>
      </c>
      <c r="D192">
        <v>0.5</v>
      </c>
      <c r="E192">
        <v>1</v>
      </c>
      <c r="G192">
        <v>39.5</v>
      </c>
      <c r="H192">
        <v>1</v>
      </c>
      <c r="I192">
        <f t="shared" si="8"/>
        <v>1</v>
      </c>
      <c r="J192">
        <f t="shared" si="9"/>
        <v>1</v>
      </c>
      <c r="K192">
        <f t="shared" si="10"/>
        <v>0</v>
      </c>
      <c r="L192">
        <f t="shared" si="11"/>
        <v>1</v>
      </c>
    </row>
    <row r="193" spans="1:12" x14ac:dyDescent="0.25">
      <c r="A193" t="s">
        <v>281</v>
      </c>
      <c r="B193" t="s">
        <v>280</v>
      </c>
      <c r="C193">
        <v>6</v>
      </c>
      <c r="D193">
        <v>6</v>
      </c>
      <c r="E193">
        <v>4</v>
      </c>
      <c r="G193">
        <v>12</v>
      </c>
      <c r="H193">
        <v>4</v>
      </c>
      <c r="I193">
        <f t="shared" si="8"/>
        <v>1</v>
      </c>
      <c r="J193">
        <f t="shared" si="9"/>
        <v>1</v>
      </c>
      <c r="K193">
        <f t="shared" si="10"/>
        <v>0</v>
      </c>
      <c r="L193">
        <f t="shared" si="11"/>
        <v>1</v>
      </c>
    </row>
    <row r="194" spans="1:12" x14ac:dyDescent="0.25">
      <c r="A194" t="s">
        <v>282</v>
      </c>
      <c r="B194" t="s">
        <v>283</v>
      </c>
      <c r="C194">
        <v>14</v>
      </c>
      <c r="D194">
        <v>38</v>
      </c>
      <c r="E194">
        <v>2</v>
      </c>
      <c r="G194">
        <v>52</v>
      </c>
      <c r="H194">
        <v>2</v>
      </c>
      <c r="I194">
        <f t="shared" si="8"/>
        <v>1</v>
      </c>
      <c r="J194">
        <f t="shared" si="9"/>
        <v>1</v>
      </c>
      <c r="K194">
        <f t="shared" si="10"/>
        <v>0</v>
      </c>
      <c r="L194">
        <f t="shared" si="11"/>
        <v>1</v>
      </c>
    </row>
    <row r="195" spans="1:12" x14ac:dyDescent="0.25">
      <c r="A195" t="s">
        <v>284</v>
      </c>
      <c r="B195" t="s">
        <v>283</v>
      </c>
      <c r="C195">
        <v>20</v>
      </c>
      <c r="D195">
        <v>0</v>
      </c>
      <c r="E195">
        <v>4</v>
      </c>
      <c r="G195">
        <v>20</v>
      </c>
      <c r="H195">
        <v>4</v>
      </c>
      <c r="I195">
        <f t="shared" ref="I195:I258" si="12">IF(C195&gt;0, 1, 0)</f>
        <v>1</v>
      </c>
      <c r="J195">
        <f t="shared" ref="J195:J258" si="13">IF(E195&gt;0, 1,0)</f>
        <v>1</v>
      </c>
      <c r="K195">
        <f t="shared" ref="K195:K258" si="14">IF(F195&gt;0, 1, 0)</f>
        <v>0</v>
      </c>
      <c r="L195">
        <f t="shared" ref="L195:L258" si="15">IF(D195&gt;0, 1, 0)</f>
        <v>0</v>
      </c>
    </row>
    <row r="196" spans="1:12" x14ac:dyDescent="0.25">
      <c r="A196" t="s">
        <v>285</v>
      </c>
      <c r="B196" t="s">
        <v>286</v>
      </c>
      <c r="C196">
        <v>6</v>
      </c>
      <c r="D196">
        <v>9</v>
      </c>
      <c r="E196">
        <v>4</v>
      </c>
      <c r="G196">
        <v>15</v>
      </c>
      <c r="H196">
        <v>4</v>
      </c>
      <c r="I196">
        <f t="shared" si="12"/>
        <v>1</v>
      </c>
      <c r="J196">
        <f t="shared" si="13"/>
        <v>1</v>
      </c>
      <c r="K196">
        <f t="shared" si="14"/>
        <v>0</v>
      </c>
      <c r="L196">
        <f t="shared" si="15"/>
        <v>1</v>
      </c>
    </row>
    <row r="197" spans="1:12" x14ac:dyDescent="0.25">
      <c r="A197" t="s">
        <v>287</v>
      </c>
      <c r="B197" t="s">
        <v>288</v>
      </c>
      <c r="C197">
        <v>6</v>
      </c>
      <c r="D197">
        <v>6</v>
      </c>
      <c r="E197">
        <v>6</v>
      </c>
      <c r="G197">
        <v>12</v>
      </c>
      <c r="H197">
        <v>6</v>
      </c>
      <c r="I197">
        <f t="shared" si="12"/>
        <v>1</v>
      </c>
      <c r="J197">
        <f t="shared" si="13"/>
        <v>1</v>
      </c>
      <c r="K197">
        <f t="shared" si="14"/>
        <v>0</v>
      </c>
      <c r="L197">
        <f t="shared" si="15"/>
        <v>1</v>
      </c>
    </row>
    <row r="198" spans="1:12" x14ac:dyDescent="0.25">
      <c r="A198" t="s">
        <v>289</v>
      </c>
      <c r="B198" t="s">
        <v>288</v>
      </c>
      <c r="C198">
        <v>12</v>
      </c>
      <c r="D198">
        <v>2</v>
      </c>
      <c r="E198">
        <v>4</v>
      </c>
      <c r="G198">
        <v>14</v>
      </c>
      <c r="H198">
        <v>4</v>
      </c>
      <c r="I198">
        <f t="shared" si="12"/>
        <v>1</v>
      </c>
      <c r="J198">
        <f t="shared" si="13"/>
        <v>1</v>
      </c>
      <c r="K198">
        <f t="shared" si="14"/>
        <v>0</v>
      </c>
      <c r="L198">
        <f t="shared" si="15"/>
        <v>1</v>
      </c>
    </row>
    <row r="199" spans="1:12" x14ac:dyDescent="0.25">
      <c r="A199" t="s">
        <v>290</v>
      </c>
      <c r="B199" t="s">
        <v>62</v>
      </c>
      <c r="C199">
        <v>4</v>
      </c>
      <c r="D199">
        <v>8</v>
      </c>
      <c r="E199">
        <v>6</v>
      </c>
      <c r="G199">
        <v>12</v>
      </c>
      <c r="H199">
        <v>6</v>
      </c>
      <c r="I199">
        <f t="shared" si="12"/>
        <v>1</v>
      </c>
      <c r="J199">
        <f t="shared" si="13"/>
        <v>1</v>
      </c>
      <c r="K199">
        <f t="shared" si="14"/>
        <v>0</v>
      </c>
      <c r="L199">
        <f t="shared" si="15"/>
        <v>1</v>
      </c>
    </row>
    <row r="200" spans="1:12" x14ac:dyDescent="0.25">
      <c r="A200" t="s">
        <v>291</v>
      </c>
      <c r="B200" t="s">
        <v>62</v>
      </c>
      <c r="C200">
        <v>8.5</v>
      </c>
      <c r="D200">
        <v>6</v>
      </c>
      <c r="E200">
        <v>2</v>
      </c>
      <c r="G200">
        <v>14.5</v>
      </c>
      <c r="H200">
        <v>2</v>
      </c>
      <c r="I200">
        <f t="shared" si="12"/>
        <v>1</v>
      </c>
      <c r="J200">
        <f t="shared" si="13"/>
        <v>1</v>
      </c>
      <c r="K200">
        <f t="shared" si="14"/>
        <v>0</v>
      </c>
      <c r="L200">
        <f t="shared" si="15"/>
        <v>1</v>
      </c>
    </row>
    <row r="201" spans="1:12" x14ac:dyDescent="0.25">
      <c r="A201" t="s">
        <v>292</v>
      </c>
      <c r="B201" t="s">
        <v>62</v>
      </c>
      <c r="C201">
        <v>6</v>
      </c>
      <c r="D201">
        <v>6</v>
      </c>
      <c r="E201">
        <v>4</v>
      </c>
      <c r="G201">
        <v>12</v>
      </c>
      <c r="H201">
        <v>4</v>
      </c>
      <c r="I201">
        <f t="shared" si="12"/>
        <v>1</v>
      </c>
      <c r="J201">
        <f t="shared" si="13"/>
        <v>1</v>
      </c>
      <c r="K201">
        <f t="shared" si="14"/>
        <v>0</v>
      </c>
      <c r="L201">
        <f t="shared" si="15"/>
        <v>1</v>
      </c>
    </row>
    <row r="202" spans="1:12" x14ac:dyDescent="0.25">
      <c r="A202" t="s">
        <v>293</v>
      </c>
      <c r="B202" t="s">
        <v>294</v>
      </c>
      <c r="C202">
        <v>5</v>
      </c>
      <c r="D202">
        <v>3</v>
      </c>
      <c r="E202">
        <v>4</v>
      </c>
      <c r="G202">
        <v>8</v>
      </c>
      <c r="H202">
        <v>4</v>
      </c>
      <c r="I202">
        <f t="shared" si="12"/>
        <v>1</v>
      </c>
      <c r="J202">
        <f t="shared" si="13"/>
        <v>1</v>
      </c>
      <c r="K202">
        <f t="shared" si="14"/>
        <v>0</v>
      </c>
      <c r="L202">
        <f t="shared" si="15"/>
        <v>1</v>
      </c>
    </row>
    <row r="203" spans="1:12" x14ac:dyDescent="0.25">
      <c r="A203" t="s">
        <v>295</v>
      </c>
      <c r="B203" t="s">
        <v>294</v>
      </c>
      <c r="C203">
        <v>2</v>
      </c>
      <c r="D203">
        <v>6.5</v>
      </c>
      <c r="F203">
        <v>0</v>
      </c>
      <c r="G203">
        <v>8.5</v>
      </c>
      <c r="H203">
        <v>0</v>
      </c>
      <c r="I203">
        <f t="shared" si="12"/>
        <v>1</v>
      </c>
      <c r="J203">
        <f t="shared" si="13"/>
        <v>0</v>
      </c>
      <c r="K203">
        <f t="shared" si="14"/>
        <v>0</v>
      </c>
      <c r="L203">
        <f t="shared" si="15"/>
        <v>1</v>
      </c>
    </row>
    <row r="204" spans="1:12" x14ac:dyDescent="0.25">
      <c r="A204" t="s">
        <v>296</v>
      </c>
      <c r="B204" t="s">
        <v>64</v>
      </c>
      <c r="C204">
        <v>12</v>
      </c>
      <c r="D204">
        <v>0</v>
      </c>
      <c r="E204">
        <v>6</v>
      </c>
      <c r="G204">
        <v>12</v>
      </c>
      <c r="H204">
        <v>6</v>
      </c>
      <c r="I204">
        <f t="shared" si="12"/>
        <v>1</v>
      </c>
      <c r="J204">
        <f t="shared" si="13"/>
        <v>1</v>
      </c>
      <c r="K204">
        <f t="shared" si="14"/>
        <v>0</v>
      </c>
      <c r="L204">
        <f t="shared" si="15"/>
        <v>0</v>
      </c>
    </row>
    <row r="205" spans="1:12" x14ac:dyDescent="0.25">
      <c r="A205" t="s">
        <v>297</v>
      </c>
      <c r="B205" t="s">
        <v>64</v>
      </c>
      <c r="C205">
        <v>6</v>
      </c>
      <c r="D205">
        <v>4</v>
      </c>
      <c r="E205">
        <v>2</v>
      </c>
      <c r="G205">
        <v>10</v>
      </c>
      <c r="H205">
        <v>2</v>
      </c>
      <c r="I205">
        <f t="shared" si="12"/>
        <v>1</v>
      </c>
      <c r="J205">
        <f t="shared" si="13"/>
        <v>1</v>
      </c>
      <c r="K205">
        <f t="shared" si="14"/>
        <v>0</v>
      </c>
      <c r="L205">
        <f t="shared" si="15"/>
        <v>1</v>
      </c>
    </row>
    <row r="206" spans="1:12" x14ac:dyDescent="0.25">
      <c r="A206" t="s">
        <v>298</v>
      </c>
      <c r="B206" t="s">
        <v>64</v>
      </c>
      <c r="C206">
        <v>12</v>
      </c>
      <c r="D206">
        <v>0</v>
      </c>
      <c r="E206">
        <v>4</v>
      </c>
      <c r="G206">
        <v>12</v>
      </c>
      <c r="H206">
        <v>4</v>
      </c>
      <c r="I206">
        <f t="shared" si="12"/>
        <v>1</v>
      </c>
      <c r="J206">
        <f t="shared" si="13"/>
        <v>1</v>
      </c>
      <c r="K206">
        <f t="shared" si="14"/>
        <v>0</v>
      </c>
      <c r="L206">
        <f t="shared" si="15"/>
        <v>0</v>
      </c>
    </row>
    <row r="207" spans="1:12" x14ac:dyDescent="0.25">
      <c r="A207" t="s">
        <v>299</v>
      </c>
      <c r="B207" t="s">
        <v>64</v>
      </c>
      <c r="C207">
        <v>16</v>
      </c>
      <c r="D207">
        <v>0</v>
      </c>
      <c r="E207">
        <v>16</v>
      </c>
      <c r="G207">
        <v>16</v>
      </c>
      <c r="H207">
        <v>16</v>
      </c>
      <c r="I207">
        <f t="shared" si="12"/>
        <v>1</v>
      </c>
      <c r="J207">
        <f t="shared" si="13"/>
        <v>1</v>
      </c>
      <c r="K207">
        <f t="shared" si="14"/>
        <v>0</v>
      </c>
      <c r="L207">
        <f t="shared" si="15"/>
        <v>0</v>
      </c>
    </row>
    <row r="208" spans="1:12" x14ac:dyDescent="0.25">
      <c r="A208" t="s">
        <v>300</v>
      </c>
      <c r="B208" t="s">
        <v>64</v>
      </c>
      <c r="C208">
        <v>8</v>
      </c>
      <c r="D208">
        <v>4</v>
      </c>
      <c r="E208">
        <v>8</v>
      </c>
      <c r="G208">
        <v>12</v>
      </c>
      <c r="H208">
        <v>8</v>
      </c>
      <c r="I208">
        <f t="shared" si="12"/>
        <v>1</v>
      </c>
      <c r="J208">
        <f t="shared" si="13"/>
        <v>1</v>
      </c>
      <c r="K208">
        <f t="shared" si="14"/>
        <v>0</v>
      </c>
      <c r="L208">
        <f t="shared" si="15"/>
        <v>1</v>
      </c>
    </row>
    <row r="209" spans="1:12" x14ac:dyDescent="0.25">
      <c r="A209" t="s">
        <v>301</v>
      </c>
      <c r="B209" t="s">
        <v>64</v>
      </c>
      <c r="C209">
        <v>26</v>
      </c>
      <c r="D209">
        <v>6</v>
      </c>
      <c r="E209">
        <v>26</v>
      </c>
      <c r="G209">
        <v>32</v>
      </c>
      <c r="H209">
        <v>26</v>
      </c>
      <c r="I209">
        <f t="shared" si="12"/>
        <v>1</v>
      </c>
      <c r="J209">
        <f t="shared" si="13"/>
        <v>1</v>
      </c>
      <c r="K209">
        <f t="shared" si="14"/>
        <v>0</v>
      </c>
      <c r="L209">
        <f t="shared" si="15"/>
        <v>1</v>
      </c>
    </row>
    <row r="210" spans="1:12" x14ac:dyDescent="0.25">
      <c r="A210" t="s">
        <v>302</v>
      </c>
      <c r="B210" t="s">
        <v>64</v>
      </c>
      <c r="C210">
        <v>24</v>
      </c>
      <c r="E210">
        <v>1</v>
      </c>
      <c r="F210">
        <v>4</v>
      </c>
      <c r="G210">
        <v>24</v>
      </c>
      <c r="H210">
        <v>5</v>
      </c>
      <c r="I210">
        <f t="shared" si="12"/>
        <v>1</v>
      </c>
      <c r="J210">
        <f t="shared" si="13"/>
        <v>1</v>
      </c>
      <c r="K210">
        <f t="shared" si="14"/>
        <v>1</v>
      </c>
      <c r="L210">
        <f t="shared" si="15"/>
        <v>0</v>
      </c>
    </row>
    <row r="211" spans="1:12" x14ac:dyDescent="0.25">
      <c r="A211" t="s">
        <v>303</v>
      </c>
      <c r="B211" t="s">
        <v>66</v>
      </c>
      <c r="C211">
        <v>12</v>
      </c>
      <c r="D211">
        <v>0</v>
      </c>
      <c r="E211">
        <v>6</v>
      </c>
      <c r="G211">
        <v>12</v>
      </c>
      <c r="H211">
        <v>6</v>
      </c>
      <c r="I211">
        <f t="shared" si="12"/>
        <v>1</v>
      </c>
      <c r="J211">
        <f t="shared" si="13"/>
        <v>1</v>
      </c>
      <c r="K211">
        <f t="shared" si="14"/>
        <v>0</v>
      </c>
      <c r="L211">
        <f t="shared" si="15"/>
        <v>0</v>
      </c>
    </row>
    <row r="212" spans="1:12" x14ac:dyDescent="0.25">
      <c r="A212" t="s">
        <v>304</v>
      </c>
      <c r="B212" t="s">
        <v>66</v>
      </c>
      <c r="C212">
        <v>11</v>
      </c>
      <c r="D212">
        <v>6</v>
      </c>
      <c r="E212">
        <v>6</v>
      </c>
      <c r="G212">
        <v>17</v>
      </c>
      <c r="H212">
        <v>6</v>
      </c>
      <c r="I212">
        <f t="shared" si="12"/>
        <v>1</v>
      </c>
      <c r="J212">
        <f t="shared" si="13"/>
        <v>1</v>
      </c>
      <c r="K212">
        <f t="shared" si="14"/>
        <v>0</v>
      </c>
      <c r="L212">
        <f t="shared" si="15"/>
        <v>1</v>
      </c>
    </row>
    <row r="213" spans="1:12" x14ac:dyDescent="0.25">
      <c r="A213" t="s">
        <v>305</v>
      </c>
      <c r="B213" t="s">
        <v>66</v>
      </c>
      <c r="C213">
        <v>14</v>
      </c>
      <c r="D213">
        <v>0</v>
      </c>
      <c r="E213">
        <v>12</v>
      </c>
      <c r="G213">
        <v>14</v>
      </c>
      <c r="H213">
        <v>12</v>
      </c>
      <c r="I213">
        <f t="shared" si="12"/>
        <v>1</v>
      </c>
      <c r="J213">
        <f t="shared" si="13"/>
        <v>1</v>
      </c>
      <c r="K213">
        <f t="shared" si="14"/>
        <v>0</v>
      </c>
      <c r="L213">
        <f t="shared" si="15"/>
        <v>0</v>
      </c>
    </row>
    <row r="214" spans="1:12" x14ac:dyDescent="0.25">
      <c r="A214" t="s">
        <v>306</v>
      </c>
      <c r="B214" t="s">
        <v>66</v>
      </c>
      <c r="C214">
        <v>18</v>
      </c>
      <c r="D214">
        <v>1</v>
      </c>
      <c r="E214">
        <v>12</v>
      </c>
      <c r="G214">
        <v>19</v>
      </c>
      <c r="H214">
        <v>12</v>
      </c>
      <c r="I214">
        <f t="shared" si="12"/>
        <v>1</v>
      </c>
      <c r="J214">
        <f t="shared" si="13"/>
        <v>1</v>
      </c>
      <c r="K214">
        <f t="shared" si="14"/>
        <v>0</v>
      </c>
      <c r="L214">
        <f t="shared" si="15"/>
        <v>1</v>
      </c>
    </row>
    <row r="215" spans="1:12" x14ac:dyDescent="0.25">
      <c r="A215" t="s">
        <v>307</v>
      </c>
      <c r="B215" t="s">
        <v>66</v>
      </c>
      <c r="C215">
        <v>12</v>
      </c>
      <c r="D215">
        <v>0</v>
      </c>
      <c r="E215">
        <v>12</v>
      </c>
      <c r="G215">
        <v>12</v>
      </c>
      <c r="H215">
        <v>12</v>
      </c>
      <c r="I215">
        <f t="shared" si="12"/>
        <v>1</v>
      </c>
      <c r="J215">
        <f t="shared" si="13"/>
        <v>1</v>
      </c>
      <c r="K215">
        <f t="shared" si="14"/>
        <v>0</v>
      </c>
      <c r="L215">
        <f t="shared" si="15"/>
        <v>0</v>
      </c>
    </row>
    <row r="216" spans="1:12" x14ac:dyDescent="0.25">
      <c r="A216" t="s">
        <v>308</v>
      </c>
      <c r="B216" t="s">
        <v>66</v>
      </c>
      <c r="C216">
        <v>20</v>
      </c>
      <c r="D216">
        <v>0</v>
      </c>
      <c r="E216">
        <v>12</v>
      </c>
      <c r="G216">
        <v>20</v>
      </c>
      <c r="H216">
        <v>12</v>
      </c>
      <c r="I216">
        <f t="shared" si="12"/>
        <v>1</v>
      </c>
      <c r="J216">
        <f t="shared" si="13"/>
        <v>1</v>
      </c>
      <c r="K216">
        <f t="shared" si="14"/>
        <v>0</v>
      </c>
      <c r="L216">
        <f t="shared" si="15"/>
        <v>0</v>
      </c>
    </row>
    <row r="217" spans="1:12" x14ac:dyDescent="0.25">
      <c r="A217" t="s">
        <v>309</v>
      </c>
      <c r="B217" t="s">
        <v>66</v>
      </c>
      <c r="C217">
        <v>24</v>
      </c>
      <c r="D217">
        <v>0</v>
      </c>
      <c r="E217">
        <v>18</v>
      </c>
      <c r="G217">
        <v>24</v>
      </c>
      <c r="H217">
        <v>18</v>
      </c>
      <c r="I217">
        <f t="shared" si="12"/>
        <v>1</v>
      </c>
      <c r="J217">
        <f t="shared" si="13"/>
        <v>1</v>
      </c>
      <c r="K217">
        <f t="shared" si="14"/>
        <v>0</v>
      </c>
      <c r="L217">
        <f t="shared" si="15"/>
        <v>0</v>
      </c>
    </row>
    <row r="218" spans="1:12" x14ac:dyDescent="0.25">
      <c r="A218" t="s">
        <v>310</v>
      </c>
      <c r="B218" t="s">
        <v>66</v>
      </c>
      <c r="C218">
        <v>16</v>
      </c>
      <c r="D218">
        <v>0</v>
      </c>
      <c r="E218">
        <v>16</v>
      </c>
      <c r="G218">
        <v>16</v>
      </c>
      <c r="H218">
        <v>16</v>
      </c>
      <c r="I218">
        <f t="shared" si="12"/>
        <v>1</v>
      </c>
      <c r="J218">
        <f t="shared" si="13"/>
        <v>1</v>
      </c>
      <c r="K218">
        <f t="shared" si="14"/>
        <v>0</v>
      </c>
      <c r="L218">
        <f t="shared" si="15"/>
        <v>0</v>
      </c>
    </row>
    <row r="219" spans="1:12" x14ac:dyDescent="0.25">
      <c r="A219" t="s">
        <v>311</v>
      </c>
      <c r="B219" t="s">
        <v>66</v>
      </c>
      <c r="C219">
        <v>20</v>
      </c>
      <c r="D219">
        <v>4</v>
      </c>
      <c r="E219">
        <v>12</v>
      </c>
      <c r="G219">
        <v>24</v>
      </c>
      <c r="H219">
        <v>12</v>
      </c>
      <c r="I219">
        <f t="shared" si="12"/>
        <v>1</v>
      </c>
      <c r="J219">
        <f t="shared" si="13"/>
        <v>1</v>
      </c>
      <c r="K219">
        <f t="shared" si="14"/>
        <v>0</v>
      </c>
      <c r="L219">
        <f t="shared" si="15"/>
        <v>1</v>
      </c>
    </row>
    <row r="220" spans="1:12" x14ac:dyDescent="0.25">
      <c r="A220" t="s">
        <v>312</v>
      </c>
      <c r="B220" t="s">
        <v>66</v>
      </c>
      <c r="C220">
        <v>18</v>
      </c>
      <c r="D220">
        <v>0</v>
      </c>
      <c r="E220">
        <v>18</v>
      </c>
      <c r="G220">
        <v>18</v>
      </c>
      <c r="H220">
        <v>18</v>
      </c>
      <c r="I220">
        <f t="shared" si="12"/>
        <v>1</v>
      </c>
      <c r="J220">
        <f t="shared" si="13"/>
        <v>1</v>
      </c>
      <c r="K220">
        <f t="shared" si="14"/>
        <v>0</v>
      </c>
      <c r="L220">
        <f t="shared" si="15"/>
        <v>0</v>
      </c>
    </row>
    <row r="221" spans="1:12" x14ac:dyDescent="0.25">
      <c r="A221" t="s">
        <v>313</v>
      </c>
      <c r="B221" t="s">
        <v>66</v>
      </c>
      <c r="C221">
        <v>18</v>
      </c>
      <c r="D221">
        <v>0</v>
      </c>
      <c r="E221">
        <v>18</v>
      </c>
      <c r="G221">
        <v>18</v>
      </c>
      <c r="H221">
        <v>18</v>
      </c>
      <c r="I221">
        <f t="shared" si="12"/>
        <v>1</v>
      </c>
      <c r="J221">
        <f t="shared" si="13"/>
        <v>1</v>
      </c>
      <c r="K221">
        <f t="shared" si="14"/>
        <v>0</v>
      </c>
      <c r="L221">
        <f t="shared" si="15"/>
        <v>0</v>
      </c>
    </row>
    <row r="222" spans="1:12" x14ac:dyDescent="0.25">
      <c r="A222" t="s">
        <v>314</v>
      </c>
      <c r="B222" t="s">
        <v>315</v>
      </c>
      <c r="C222">
        <v>6</v>
      </c>
      <c r="D222">
        <v>0</v>
      </c>
      <c r="E222">
        <v>6</v>
      </c>
      <c r="G222">
        <v>6</v>
      </c>
      <c r="H222">
        <v>6</v>
      </c>
      <c r="I222">
        <f t="shared" si="12"/>
        <v>1</v>
      </c>
      <c r="J222">
        <f t="shared" si="13"/>
        <v>1</v>
      </c>
      <c r="K222">
        <f t="shared" si="14"/>
        <v>0</v>
      </c>
      <c r="L222">
        <f t="shared" si="15"/>
        <v>0</v>
      </c>
    </row>
    <row r="223" spans="1:12" x14ac:dyDescent="0.25">
      <c r="A223" t="s">
        <v>316</v>
      </c>
      <c r="B223" t="s">
        <v>315</v>
      </c>
      <c r="C223">
        <v>8</v>
      </c>
      <c r="D223">
        <v>7</v>
      </c>
      <c r="E223">
        <v>2</v>
      </c>
      <c r="G223">
        <v>15</v>
      </c>
      <c r="H223">
        <v>2</v>
      </c>
      <c r="I223">
        <f t="shared" si="12"/>
        <v>1</v>
      </c>
      <c r="J223">
        <f t="shared" si="13"/>
        <v>1</v>
      </c>
      <c r="K223">
        <f t="shared" si="14"/>
        <v>0</v>
      </c>
      <c r="L223">
        <f t="shared" si="15"/>
        <v>1</v>
      </c>
    </row>
    <row r="224" spans="1:12" x14ac:dyDescent="0.25">
      <c r="A224" t="s">
        <v>317</v>
      </c>
      <c r="B224" t="s">
        <v>315</v>
      </c>
      <c r="C224">
        <v>2</v>
      </c>
      <c r="D224">
        <v>0</v>
      </c>
      <c r="E224">
        <v>6</v>
      </c>
      <c r="G224">
        <v>2</v>
      </c>
      <c r="H224">
        <v>6</v>
      </c>
      <c r="I224">
        <f t="shared" si="12"/>
        <v>1</v>
      </c>
      <c r="J224">
        <f t="shared" si="13"/>
        <v>1</v>
      </c>
      <c r="K224">
        <f t="shared" si="14"/>
        <v>0</v>
      </c>
      <c r="L224">
        <f t="shared" si="15"/>
        <v>0</v>
      </c>
    </row>
    <row r="225" spans="1:12" x14ac:dyDescent="0.25">
      <c r="A225" t="s">
        <v>318</v>
      </c>
      <c r="B225" t="s">
        <v>71</v>
      </c>
      <c r="C225">
        <v>12</v>
      </c>
      <c r="D225">
        <v>6</v>
      </c>
      <c r="E225">
        <v>12</v>
      </c>
      <c r="G225">
        <v>18</v>
      </c>
      <c r="H225">
        <v>12</v>
      </c>
      <c r="I225">
        <f t="shared" si="12"/>
        <v>1</v>
      </c>
      <c r="J225">
        <f t="shared" si="13"/>
        <v>1</v>
      </c>
      <c r="K225">
        <f t="shared" si="14"/>
        <v>0</v>
      </c>
      <c r="L225">
        <f t="shared" si="15"/>
        <v>1</v>
      </c>
    </row>
    <row r="226" spans="1:12" x14ac:dyDescent="0.25">
      <c r="A226" t="s">
        <v>319</v>
      </c>
      <c r="B226" t="s">
        <v>71</v>
      </c>
      <c r="C226">
        <v>26</v>
      </c>
      <c r="D226">
        <v>0</v>
      </c>
      <c r="E226">
        <v>18</v>
      </c>
      <c r="G226">
        <v>26</v>
      </c>
      <c r="H226">
        <v>18</v>
      </c>
      <c r="I226">
        <f t="shared" si="12"/>
        <v>1</v>
      </c>
      <c r="J226">
        <f t="shared" si="13"/>
        <v>1</v>
      </c>
      <c r="K226">
        <f t="shared" si="14"/>
        <v>0</v>
      </c>
      <c r="L226">
        <f t="shared" si="15"/>
        <v>0</v>
      </c>
    </row>
    <row r="227" spans="1:12" x14ac:dyDescent="0.25">
      <c r="A227" t="s">
        <v>320</v>
      </c>
      <c r="B227" t="s">
        <v>321</v>
      </c>
      <c r="C227">
        <v>14</v>
      </c>
      <c r="D227">
        <v>6</v>
      </c>
      <c r="E227">
        <v>4</v>
      </c>
      <c r="G227">
        <v>20</v>
      </c>
      <c r="H227">
        <v>4</v>
      </c>
      <c r="I227">
        <f t="shared" si="12"/>
        <v>1</v>
      </c>
      <c r="J227">
        <f t="shared" si="13"/>
        <v>1</v>
      </c>
      <c r="K227">
        <f t="shared" si="14"/>
        <v>0</v>
      </c>
      <c r="L227">
        <f t="shared" si="15"/>
        <v>1</v>
      </c>
    </row>
    <row r="228" spans="1:12" x14ac:dyDescent="0.25">
      <c r="A228" t="s">
        <v>322</v>
      </c>
      <c r="B228" t="s">
        <v>321</v>
      </c>
      <c r="C228">
        <v>13</v>
      </c>
      <c r="D228">
        <v>2</v>
      </c>
      <c r="E228">
        <v>0</v>
      </c>
      <c r="G228">
        <v>15</v>
      </c>
      <c r="H228">
        <v>0</v>
      </c>
      <c r="I228">
        <f t="shared" si="12"/>
        <v>1</v>
      </c>
      <c r="J228">
        <f t="shared" si="13"/>
        <v>0</v>
      </c>
      <c r="K228">
        <f t="shared" si="14"/>
        <v>0</v>
      </c>
      <c r="L228">
        <f t="shared" si="15"/>
        <v>1</v>
      </c>
    </row>
    <row r="229" spans="1:12" x14ac:dyDescent="0.25">
      <c r="A229" t="s">
        <v>323</v>
      </c>
      <c r="B229" t="s">
        <v>321</v>
      </c>
      <c r="C229">
        <v>12</v>
      </c>
      <c r="D229">
        <v>0</v>
      </c>
      <c r="E229">
        <v>12</v>
      </c>
      <c r="G229">
        <v>12</v>
      </c>
      <c r="H229">
        <v>12</v>
      </c>
      <c r="I229">
        <f t="shared" si="12"/>
        <v>1</v>
      </c>
      <c r="J229">
        <f t="shared" si="13"/>
        <v>1</v>
      </c>
      <c r="K229">
        <f t="shared" si="14"/>
        <v>0</v>
      </c>
      <c r="L229">
        <f t="shared" si="15"/>
        <v>0</v>
      </c>
    </row>
    <row r="230" spans="1:12" x14ac:dyDescent="0.25">
      <c r="A230" t="s">
        <v>324</v>
      </c>
      <c r="B230" t="s">
        <v>321</v>
      </c>
      <c r="C230">
        <v>2</v>
      </c>
      <c r="D230">
        <v>12</v>
      </c>
      <c r="F230">
        <v>0</v>
      </c>
      <c r="G230">
        <v>14</v>
      </c>
      <c r="H230">
        <v>0</v>
      </c>
      <c r="I230">
        <f t="shared" si="12"/>
        <v>1</v>
      </c>
      <c r="J230">
        <f t="shared" si="13"/>
        <v>0</v>
      </c>
      <c r="K230">
        <f t="shared" si="14"/>
        <v>0</v>
      </c>
      <c r="L230">
        <f t="shared" si="15"/>
        <v>1</v>
      </c>
    </row>
    <row r="231" spans="1:12" x14ac:dyDescent="0.25">
      <c r="A231" t="s">
        <v>325</v>
      </c>
      <c r="B231" t="s">
        <v>321</v>
      </c>
      <c r="C231">
        <v>12</v>
      </c>
      <c r="D231">
        <v>0</v>
      </c>
      <c r="E231">
        <v>12</v>
      </c>
      <c r="G231">
        <v>12</v>
      </c>
      <c r="H231">
        <v>12</v>
      </c>
      <c r="I231">
        <f t="shared" si="12"/>
        <v>1</v>
      </c>
      <c r="J231">
        <f t="shared" si="13"/>
        <v>1</v>
      </c>
      <c r="K231">
        <f t="shared" si="14"/>
        <v>0</v>
      </c>
      <c r="L231">
        <f t="shared" si="15"/>
        <v>0</v>
      </c>
    </row>
    <row r="232" spans="1:12" x14ac:dyDescent="0.25">
      <c r="A232" t="s">
        <v>326</v>
      </c>
      <c r="B232" t="s">
        <v>321</v>
      </c>
      <c r="C232">
        <v>8</v>
      </c>
      <c r="D232">
        <v>12</v>
      </c>
      <c r="E232">
        <v>7.5</v>
      </c>
      <c r="G232">
        <v>20</v>
      </c>
      <c r="H232">
        <v>7.5</v>
      </c>
      <c r="I232">
        <f t="shared" si="12"/>
        <v>1</v>
      </c>
      <c r="J232">
        <f t="shared" si="13"/>
        <v>1</v>
      </c>
      <c r="K232">
        <f t="shared" si="14"/>
        <v>0</v>
      </c>
      <c r="L232">
        <f t="shared" si="15"/>
        <v>1</v>
      </c>
    </row>
    <row r="233" spans="1:12" x14ac:dyDescent="0.25">
      <c r="A233" t="s">
        <v>327</v>
      </c>
      <c r="B233" t="s">
        <v>321</v>
      </c>
      <c r="C233">
        <v>8</v>
      </c>
      <c r="D233">
        <v>0</v>
      </c>
      <c r="E233">
        <v>12</v>
      </c>
      <c r="G233">
        <v>8</v>
      </c>
      <c r="H233">
        <v>12</v>
      </c>
      <c r="I233">
        <f t="shared" si="12"/>
        <v>1</v>
      </c>
      <c r="J233">
        <f t="shared" si="13"/>
        <v>1</v>
      </c>
      <c r="K233">
        <f t="shared" si="14"/>
        <v>0</v>
      </c>
      <c r="L233">
        <f t="shared" si="15"/>
        <v>0</v>
      </c>
    </row>
    <row r="234" spans="1:12" x14ac:dyDescent="0.25">
      <c r="A234" t="s">
        <v>328</v>
      </c>
      <c r="B234" t="s">
        <v>329</v>
      </c>
      <c r="C234">
        <v>13</v>
      </c>
      <c r="D234">
        <v>8</v>
      </c>
      <c r="E234">
        <v>10</v>
      </c>
      <c r="G234">
        <v>21</v>
      </c>
      <c r="H234">
        <v>10</v>
      </c>
      <c r="I234">
        <f t="shared" si="12"/>
        <v>1</v>
      </c>
      <c r="J234">
        <f t="shared" si="13"/>
        <v>1</v>
      </c>
      <c r="K234">
        <f t="shared" si="14"/>
        <v>0</v>
      </c>
      <c r="L234">
        <f t="shared" si="15"/>
        <v>1</v>
      </c>
    </row>
    <row r="235" spans="1:12" x14ac:dyDescent="0.25">
      <c r="A235" t="s">
        <v>330</v>
      </c>
      <c r="B235" t="s">
        <v>73</v>
      </c>
      <c r="C235">
        <v>8</v>
      </c>
      <c r="D235">
        <v>4</v>
      </c>
      <c r="E235">
        <v>1</v>
      </c>
      <c r="G235">
        <v>12</v>
      </c>
      <c r="H235">
        <v>1</v>
      </c>
      <c r="I235">
        <f t="shared" si="12"/>
        <v>1</v>
      </c>
      <c r="J235">
        <f t="shared" si="13"/>
        <v>1</v>
      </c>
      <c r="K235">
        <f t="shared" si="14"/>
        <v>0</v>
      </c>
      <c r="L235">
        <f t="shared" si="15"/>
        <v>1</v>
      </c>
    </row>
    <row r="236" spans="1:12" x14ac:dyDescent="0.25">
      <c r="A236" t="s">
        <v>331</v>
      </c>
      <c r="B236" t="s">
        <v>332</v>
      </c>
      <c r="C236">
        <v>12</v>
      </c>
      <c r="D236">
        <v>3</v>
      </c>
      <c r="E236">
        <v>6</v>
      </c>
      <c r="G236">
        <v>15</v>
      </c>
      <c r="H236">
        <v>6</v>
      </c>
      <c r="I236">
        <f t="shared" si="12"/>
        <v>1</v>
      </c>
      <c r="J236">
        <f t="shared" si="13"/>
        <v>1</v>
      </c>
      <c r="K236">
        <f t="shared" si="14"/>
        <v>0</v>
      </c>
      <c r="L236">
        <f t="shared" si="15"/>
        <v>1</v>
      </c>
    </row>
    <row r="237" spans="1:12" x14ac:dyDescent="0.25">
      <c r="A237" t="s">
        <v>333</v>
      </c>
      <c r="B237" t="s">
        <v>332</v>
      </c>
      <c r="C237">
        <v>16</v>
      </c>
      <c r="D237">
        <v>0</v>
      </c>
      <c r="E237">
        <v>8</v>
      </c>
      <c r="G237">
        <v>16</v>
      </c>
      <c r="H237">
        <v>8</v>
      </c>
      <c r="I237">
        <f t="shared" si="12"/>
        <v>1</v>
      </c>
      <c r="J237">
        <f t="shared" si="13"/>
        <v>1</v>
      </c>
      <c r="K237">
        <f t="shared" si="14"/>
        <v>0</v>
      </c>
      <c r="L237">
        <f t="shared" si="15"/>
        <v>0</v>
      </c>
    </row>
    <row r="238" spans="1:12" x14ac:dyDescent="0.25">
      <c r="A238" t="s">
        <v>334</v>
      </c>
      <c r="B238" t="s">
        <v>75</v>
      </c>
      <c r="C238">
        <v>19</v>
      </c>
      <c r="D238">
        <v>0</v>
      </c>
      <c r="E238">
        <v>10</v>
      </c>
      <c r="G238">
        <v>19</v>
      </c>
      <c r="H238">
        <v>10</v>
      </c>
      <c r="I238">
        <f t="shared" si="12"/>
        <v>1</v>
      </c>
      <c r="J238">
        <f t="shared" si="13"/>
        <v>1</v>
      </c>
      <c r="K238">
        <f t="shared" si="14"/>
        <v>0</v>
      </c>
      <c r="L238">
        <f t="shared" si="15"/>
        <v>0</v>
      </c>
    </row>
    <row r="239" spans="1:12" x14ac:dyDescent="0.25">
      <c r="A239" t="s">
        <v>335</v>
      </c>
      <c r="B239" t="s">
        <v>75</v>
      </c>
      <c r="C239">
        <v>17</v>
      </c>
      <c r="D239">
        <v>15</v>
      </c>
      <c r="E239">
        <v>16</v>
      </c>
      <c r="G239">
        <v>32</v>
      </c>
      <c r="H239">
        <v>16</v>
      </c>
      <c r="I239">
        <f t="shared" si="12"/>
        <v>1</v>
      </c>
      <c r="J239">
        <f t="shared" si="13"/>
        <v>1</v>
      </c>
      <c r="K239">
        <f t="shared" si="14"/>
        <v>0</v>
      </c>
      <c r="L239">
        <f t="shared" si="15"/>
        <v>1</v>
      </c>
    </row>
    <row r="240" spans="1:12" x14ac:dyDescent="0.25">
      <c r="A240" t="s">
        <v>336</v>
      </c>
      <c r="B240" t="s">
        <v>75</v>
      </c>
      <c r="C240">
        <v>16</v>
      </c>
      <c r="D240">
        <v>0</v>
      </c>
      <c r="E240">
        <v>12</v>
      </c>
      <c r="G240">
        <v>16</v>
      </c>
      <c r="H240">
        <v>12</v>
      </c>
      <c r="I240">
        <f t="shared" si="12"/>
        <v>1</v>
      </c>
      <c r="J240">
        <f t="shared" si="13"/>
        <v>1</v>
      </c>
      <c r="K240">
        <f t="shared" si="14"/>
        <v>0</v>
      </c>
      <c r="L240">
        <f t="shared" si="15"/>
        <v>0</v>
      </c>
    </row>
    <row r="241" spans="1:12" x14ac:dyDescent="0.25">
      <c r="A241" t="s">
        <v>337</v>
      </c>
      <c r="B241" t="s">
        <v>75</v>
      </c>
      <c r="C241">
        <v>3</v>
      </c>
      <c r="D241">
        <v>3</v>
      </c>
      <c r="E241">
        <v>0</v>
      </c>
      <c r="G241">
        <v>6</v>
      </c>
      <c r="H241">
        <v>0</v>
      </c>
      <c r="I241">
        <f t="shared" si="12"/>
        <v>1</v>
      </c>
      <c r="J241">
        <f t="shared" si="13"/>
        <v>0</v>
      </c>
      <c r="K241">
        <f t="shared" si="14"/>
        <v>0</v>
      </c>
      <c r="L241">
        <f t="shared" si="15"/>
        <v>1</v>
      </c>
    </row>
    <row r="242" spans="1:12" x14ac:dyDescent="0.25">
      <c r="A242" t="s">
        <v>338</v>
      </c>
      <c r="B242" t="s">
        <v>75</v>
      </c>
      <c r="C242">
        <v>2</v>
      </c>
      <c r="D242">
        <v>11</v>
      </c>
      <c r="E242">
        <v>2</v>
      </c>
      <c r="G242">
        <v>13</v>
      </c>
      <c r="H242">
        <v>2</v>
      </c>
      <c r="I242">
        <f t="shared" si="12"/>
        <v>1</v>
      </c>
      <c r="J242">
        <f t="shared" si="13"/>
        <v>1</v>
      </c>
      <c r="K242">
        <f t="shared" si="14"/>
        <v>0</v>
      </c>
      <c r="L242">
        <f t="shared" si="15"/>
        <v>1</v>
      </c>
    </row>
    <row r="243" spans="1:12" x14ac:dyDescent="0.25">
      <c r="A243" t="s">
        <v>339</v>
      </c>
      <c r="B243" t="s">
        <v>75</v>
      </c>
      <c r="C243">
        <v>16</v>
      </c>
      <c r="D243">
        <v>0</v>
      </c>
      <c r="E243">
        <v>4</v>
      </c>
      <c r="G243">
        <v>16</v>
      </c>
      <c r="H243">
        <v>4</v>
      </c>
      <c r="I243">
        <f t="shared" si="12"/>
        <v>1</v>
      </c>
      <c r="J243">
        <f t="shared" si="13"/>
        <v>1</v>
      </c>
      <c r="K243">
        <f t="shared" si="14"/>
        <v>0</v>
      </c>
      <c r="L243">
        <f t="shared" si="15"/>
        <v>0</v>
      </c>
    </row>
    <row r="244" spans="1:12" x14ac:dyDescent="0.25">
      <c r="A244" t="s">
        <v>340</v>
      </c>
      <c r="B244" t="s">
        <v>75</v>
      </c>
      <c r="C244">
        <v>20</v>
      </c>
      <c r="D244">
        <v>4</v>
      </c>
      <c r="E244">
        <v>20</v>
      </c>
      <c r="G244">
        <v>24</v>
      </c>
      <c r="H244">
        <v>20</v>
      </c>
      <c r="I244">
        <f t="shared" si="12"/>
        <v>1</v>
      </c>
      <c r="J244">
        <f t="shared" si="13"/>
        <v>1</v>
      </c>
      <c r="K244">
        <f t="shared" si="14"/>
        <v>0</v>
      </c>
      <c r="L244">
        <f t="shared" si="15"/>
        <v>1</v>
      </c>
    </row>
    <row r="245" spans="1:12" x14ac:dyDescent="0.25">
      <c r="A245" t="s">
        <v>341</v>
      </c>
      <c r="B245" t="s">
        <v>75</v>
      </c>
      <c r="C245">
        <v>16</v>
      </c>
      <c r="D245">
        <v>0</v>
      </c>
      <c r="E245">
        <v>16</v>
      </c>
      <c r="G245">
        <v>16</v>
      </c>
      <c r="H245">
        <v>16</v>
      </c>
      <c r="I245">
        <f t="shared" si="12"/>
        <v>1</v>
      </c>
      <c r="J245">
        <f t="shared" si="13"/>
        <v>1</v>
      </c>
      <c r="K245">
        <f t="shared" si="14"/>
        <v>0</v>
      </c>
      <c r="L245">
        <f t="shared" si="15"/>
        <v>0</v>
      </c>
    </row>
    <row r="246" spans="1:12" x14ac:dyDescent="0.25">
      <c r="A246" t="s">
        <v>342</v>
      </c>
      <c r="B246" t="s">
        <v>75</v>
      </c>
      <c r="C246">
        <v>12</v>
      </c>
      <c r="D246">
        <v>2</v>
      </c>
      <c r="F246">
        <v>18</v>
      </c>
      <c r="G246">
        <v>14</v>
      </c>
      <c r="H246">
        <v>18</v>
      </c>
      <c r="I246">
        <f t="shared" si="12"/>
        <v>1</v>
      </c>
      <c r="J246">
        <f t="shared" si="13"/>
        <v>0</v>
      </c>
      <c r="K246">
        <f t="shared" si="14"/>
        <v>1</v>
      </c>
      <c r="L246">
        <f t="shared" si="15"/>
        <v>1</v>
      </c>
    </row>
    <row r="247" spans="1:12" x14ac:dyDescent="0.25">
      <c r="A247" t="s">
        <v>343</v>
      </c>
      <c r="B247" t="s">
        <v>75</v>
      </c>
      <c r="C247">
        <v>13</v>
      </c>
      <c r="D247">
        <v>52</v>
      </c>
      <c r="E247">
        <v>13</v>
      </c>
      <c r="G247">
        <v>65</v>
      </c>
      <c r="H247">
        <v>13</v>
      </c>
      <c r="I247">
        <f t="shared" si="12"/>
        <v>1</v>
      </c>
      <c r="J247">
        <f t="shared" si="13"/>
        <v>1</v>
      </c>
      <c r="K247">
        <f t="shared" si="14"/>
        <v>0</v>
      </c>
      <c r="L247">
        <f t="shared" si="15"/>
        <v>1</v>
      </c>
    </row>
    <row r="248" spans="1:12" x14ac:dyDescent="0.25">
      <c r="A248" t="s">
        <v>344</v>
      </c>
      <c r="B248" t="s">
        <v>75</v>
      </c>
      <c r="C248">
        <v>12</v>
      </c>
      <c r="D248">
        <v>6</v>
      </c>
      <c r="E248">
        <v>4</v>
      </c>
      <c r="G248">
        <v>18</v>
      </c>
      <c r="H248">
        <v>4</v>
      </c>
      <c r="I248">
        <f t="shared" si="12"/>
        <v>1</v>
      </c>
      <c r="J248">
        <f t="shared" si="13"/>
        <v>1</v>
      </c>
      <c r="K248">
        <f t="shared" si="14"/>
        <v>0</v>
      </c>
      <c r="L248">
        <f t="shared" si="15"/>
        <v>1</v>
      </c>
    </row>
    <row r="249" spans="1:12" x14ac:dyDescent="0.25">
      <c r="A249" t="s">
        <v>345</v>
      </c>
      <c r="B249" t="s">
        <v>75</v>
      </c>
      <c r="C249">
        <v>26</v>
      </c>
      <c r="D249">
        <v>0</v>
      </c>
      <c r="E249">
        <v>0</v>
      </c>
      <c r="G249">
        <v>26</v>
      </c>
      <c r="H249">
        <v>0</v>
      </c>
      <c r="I249">
        <f t="shared" si="12"/>
        <v>1</v>
      </c>
      <c r="J249">
        <f t="shared" si="13"/>
        <v>0</v>
      </c>
      <c r="K249">
        <f t="shared" si="14"/>
        <v>0</v>
      </c>
      <c r="L249">
        <f t="shared" si="15"/>
        <v>0</v>
      </c>
    </row>
    <row r="250" spans="1:12" x14ac:dyDescent="0.25">
      <c r="A250" t="s">
        <v>346</v>
      </c>
      <c r="B250" t="s">
        <v>75</v>
      </c>
      <c r="C250">
        <v>26</v>
      </c>
      <c r="D250">
        <v>0</v>
      </c>
      <c r="E250">
        <v>26</v>
      </c>
      <c r="G250">
        <v>26</v>
      </c>
      <c r="H250">
        <v>26</v>
      </c>
      <c r="I250">
        <f t="shared" si="12"/>
        <v>1</v>
      </c>
      <c r="J250">
        <f t="shared" si="13"/>
        <v>1</v>
      </c>
      <c r="K250">
        <f t="shared" si="14"/>
        <v>0</v>
      </c>
      <c r="L250">
        <f t="shared" si="15"/>
        <v>0</v>
      </c>
    </row>
    <row r="251" spans="1:12" x14ac:dyDescent="0.25">
      <c r="A251" t="s">
        <v>347</v>
      </c>
      <c r="B251" t="s">
        <v>75</v>
      </c>
      <c r="C251">
        <v>20</v>
      </c>
      <c r="D251">
        <v>0</v>
      </c>
      <c r="E251">
        <v>12</v>
      </c>
      <c r="G251">
        <v>20</v>
      </c>
      <c r="H251">
        <v>12</v>
      </c>
      <c r="I251">
        <f t="shared" si="12"/>
        <v>1</v>
      </c>
      <c r="J251">
        <f t="shared" si="13"/>
        <v>1</v>
      </c>
      <c r="K251">
        <f t="shared" si="14"/>
        <v>0</v>
      </c>
      <c r="L251">
        <f t="shared" si="15"/>
        <v>0</v>
      </c>
    </row>
    <row r="252" spans="1:12" x14ac:dyDescent="0.25">
      <c r="A252" t="s">
        <v>348</v>
      </c>
      <c r="B252" t="s">
        <v>75</v>
      </c>
      <c r="C252">
        <v>20</v>
      </c>
      <c r="D252">
        <v>0</v>
      </c>
      <c r="E252">
        <v>12</v>
      </c>
      <c r="G252">
        <v>20</v>
      </c>
      <c r="H252">
        <v>12</v>
      </c>
      <c r="I252">
        <f t="shared" si="12"/>
        <v>1</v>
      </c>
      <c r="J252">
        <f t="shared" si="13"/>
        <v>1</v>
      </c>
      <c r="K252">
        <f t="shared" si="14"/>
        <v>0</v>
      </c>
      <c r="L252">
        <f t="shared" si="15"/>
        <v>0</v>
      </c>
    </row>
    <row r="253" spans="1:12" x14ac:dyDescent="0.25">
      <c r="A253" t="s">
        <v>349</v>
      </c>
      <c r="B253" t="s">
        <v>75</v>
      </c>
      <c r="C253">
        <v>12</v>
      </c>
      <c r="D253">
        <v>0</v>
      </c>
      <c r="E253">
        <v>4</v>
      </c>
      <c r="G253">
        <v>12</v>
      </c>
      <c r="H253">
        <v>4</v>
      </c>
      <c r="I253">
        <f t="shared" si="12"/>
        <v>1</v>
      </c>
      <c r="J253">
        <f t="shared" si="13"/>
        <v>1</v>
      </c>
      <c r="K253">
        <f t="shared" si="14"/>
        <v>0</v>
      </c>
      <c r="L253">
        <f t="shared" si="15"/>
        <v>0</v>
      </c>
    </row>
    <row r="254" spans="1:12" x14ac:dyDescent="0.25">
      <c r="A254" t="s">
        <v>350</v>
      </c>
      <c r="B254" t="s">
        <v>75</v>
      </c>
      <c r="C254">
        <v>12</v>
      </c>
      <c r="D254">
        <v>8</v>
      </c>
      <c r="E254">
        <v>12</v>
      </c>
      <c r="G254">
        <v>20</v>
      </c>
      <c r="H254">
        <v>12</v>
      </c>
      <c r="I254">
        <f t="shared" si="12"/>
        <v>1</v>
      </c>
      <c r="J254">
        <f t="shared" si="13"/>
        <v>1</v>
      </c>
      <c r="K254">
        <f t="shared" si="14"/>
        <v>0</v>
      </c>
      <c r="L254">
        <f t="shared" si="15"/>
        <v>1</v>
      </c>
    </row>
    <row r="255" spans="1:12" x14ac:dyDescent="0.25">
      <c r="A255" t="s">
        <v>351</v>
      </c>
      <c r="B255" t="s">
        <v>75</v>
      </c>
      <c r="C255">
        <v>11</v>
      </c>
      <c r="D255">
        <v>2</v>
      </c>
      <c r="E255">
        <v>10.5</v>
      </c>
      <c r="G255">
        <v>13</v>
      </c>
      <c r="H255">
        <v>10.5</v>
      </c>
      <c r="I255">
        <f t="shared" si="12"/>
        <v>1</v>
      </c>
      <c r="J255">
        <f t="shared" si="13"/>
        <v>1</v>
      </c>
      <c r="K255">
        <f t="shared" si="14"/>
        <v>0</v>
      </c>
      <c r="L255">
        <f t="shared" si="15"/>
        <v>1</v>
      </c>
    </row>
    <row r="256" spans="1:12" x14ac:dyDescent="0.25">
      <c r="A256" t="s">
        <v>352</v>
      </c>
      <c r="B256" t="s">
        <v>82</v>
      </c>
      <c r="C256">
        <v>0</v>
      </c>
      <c r="D256">
        <v>12</v>
      </c>
      <c r="E256">
        <v>0</v>
      </c>
      <c r="G256">
        <v>12</v>
      </c>
      <c r="H256">
        <v>0</v>
      </c>
      <c r="I256">
        <f t="shared" si="12"/>
        <v>0</v>
      </c>
      <c r="J256">
        <f t="shared" si="13"/>
        <v>0</v>
      </c>
      <c r="K256">
        <f t="shared" si="14"/>
        <v>0</v>
      </c>
      <c r="L256">
        <f t="shared" si="15"/>
        <v>1</v>
      </c>
    </row>
    <row r="257" spans="1:12" x14ac:dyDescent="0.25">
      <c r="A257" t="s">
        <v>353</v>
      </c>
      <c r="B257" t="s">
        <v>82</v>
      </c>
      <c r="C257">
        <v>12</v>
      </c>
      <c r="D257">
        <v>1</v>
      </c>
      <c r="E257">
        <v>6</v>
      </c>
      <c r="G257">
        <v>13</v>
      </c>
      <c r="H257">
        <v>6</v>
      </c>
      <c r="I257">
        <f t="shared" si="12"/>
        <v>1</v>
      </c>
      <c r="J257">
        <f t="shared" si="13"/>
        <v>1</v>
      </c>
      <c r="K257">
        <f t="shared" si="14"/>
        <v>0</v>
      </c>
      <c r="L257">
        <f t="shared" si="15"/>
        <v>1</v>
      </c>
    </row>
    <row r="258" spans="1:12" x14ac:dyDescent="0.25">
      <c r="A258" t="s">
        <v>354</v>
      </c>
      <c r="B258" t="s">
        <v>82</v>
      </c>
      <c r="C258">
        <v>6</v>
      </c>
      <c r="D258">
        <v>6</v>
      </c>
      <c r="E258">
        <v>2</v>
      </c>
      <c r="G258">
        <v>12</v>
      </c>
      <c r="H258">
        <v>2</v>
      </c>
      <c r="I258">
        <f t="shared" si="12"/>
        <v>1</v>
      </c>
      <c r="J258">
        <f t="shared" si="13"/>
        <v>1</v>
      </c>
      <c r="K258">
        <f t="shared" si="14"/>
        <v>0</v>
      </c>
      <c r="L258">
        <f t="shared" si="15"/>
        <v>1</v>
      </c>
    </row>
    <row r="259" spans="1:12" x14ac:dyDescent="0.25">
      <c r="A259" t="s">
        <v>355</v>
      </c>
      <c r="B259" t="s">
        <v>82</v>
      </c>
      <c r="C259">
        <v>8</v>
      </c>
      <c r="D259">
        <v>4</v>
      </c>
      <c r="E259">
        <v>8</v>
      </c>
      <c r="G259">
        <v>12</v>
      </c>
      <c r="H259">
        <v>8</v>
      </c>
      <c r="I259">
        <f t="shared" ref="I259:I322" si="16">IF(C259&gt;0, 1, 0)</f>
        <v>1</v>
      </c>
      <c r="J259">
        <f t="shared" ref="J259:J322" si="17">IF(E259&gt;0, 1,0)</f>
        <v>1</v>
      </c>
      <c r="K259">
        <f t="shared" ref="K259:K322" si="18">IF(F259&gt;0, 1, 0)</f>
        <v>0</v>
      </c>
      <c r="L259">
        <f t="shared" ref="L259:L322" si="19">IF(D259&gt;0, 1, 0)</f>
        <v>1</v>
      </c>
    </row>
    <row r="260" spans="1:12" x14ac:dyDescent="0.25">
      <c r="A260" t="s">
        <v>356</v>
      </c>
      <c r="B260" t="s">
        <v>82</v>
      </c>
      <c r="C260">
        <v>16</v>
      </c>
      <c r="D260">
        <v>0</v>
      </c>
      <c r="E260">
        <v>9</v>
      </c>
      <c r="G260">
        <v>16</v>
      </c>
      <c r="H260">
        <v>9</v>
      </c>
      <c r="I260">
        <f t="shared" si="16"/>
        <v>1</v>
      </c>
      <c r="J260">
        <f t="shared" si="17"/>
        <v>1</v>
      </c>
      <c r="K260">
        <f t="shared" si="18"/>
        <v>0</v>
      </c>
      <c r="L260">
        <f t="shared" si="19"/>
        <v>0</v>
      </c>
    </row>
    <row r="261" spans="1:12" x14ac:dyDescent="0.25">
      <c r="A261" t="s">
        <v>357</v>
      </c>
      <c r="B261" t="s">
        <v>82</v>
      </c>
      <c r="C261">
        <v>11</v>
      </c>
      <c r="D261">
        <v>6</v>
      </c>
      <c r="E261">
        <v>16</v>
      </c>
      <c r="G261">
        <v>17</v>
      </c>
      <c r="H261">
        <v>16</v>
      </c>
      <c r="I261">
        <f t="shared" si="16"/>
        <v>1</v>
      </c>
      <c r="J261">
        <f t="shared" si="17"/>
        <v>1</v>
      </c>
      <c r="K261">
        <f t="shared" si="18"/>
        <v>0</v>
      </c>
      <c r="L261">
        <f t="shared" si="19"/>
        <v>1</v>
      </c>
    </row>
    <row r="262" spans="1:12" x14ac:dyDescent="0.25">
      <c r="A262" t="s">
        <v>358</v>
      </c>
      <c r="B262" t="s">
        <v>359</v>
      </c>
      <c r="C262">
        <v>2</v>
      </c>
      <c r="D262">
        <v>28</v>
      </c>
      <c r="E262">
        <v>2</v>
      </c>
      <c r="G262">
        <v>30</v>
      </c>
      <c r="H262">
        <v>2</v>
      </c>
      <c r="I262">
        <f t="shared" si="16"/>
        <v>1</v>
      </c>
      <c r="J262">
        <f t="shared" si="17"/>
        <v>1</v>
      </c>
      <c r="K262">
        <f t="shared" si="18"/>
        <v>0</v>
      </c>
      <c r="L262">
        <f t="shared" si="19"/>
        <v>1</v>
      </c>
    </row>
    <row r="263" spans="1:12" x14ac:dyDescent="0.25">
      <c r="A263" t="s">
        <v>360</v>
      </c>
      <c r="B263" t="s">
        <v>359</v>
      </c>
      <c r="C263">
        <v>16</v>
      </c>
      <c r="D263">
        <v>4</v>
      </c>
      <c r="E263">
        <v>12</v>
      </c>
      <c r="G263">
        <v>20</v>
      </c>
      <c r="H263">
        <v>12</v>
      </c>
      <c r="I263">
        <f t="shared" si="16"/>
        <v>1</v>
      </c>
      <c r="J263">
        <f t="shared" si="17"/>
        <v>1</v>
      </c>
      <c r="K263">
        <f t="shared" si="18"/>
        <v>0</v>
      </c>
      <c r="L263">
        <f t="shared" si="19"/>
        <v>1</v>
      </c>
    </row>
    <row r="264" spans="1:12" x14ac:dyDescent="0.25">
      <c r="A264" t="s">
        <v>361</v>
      </c>
      <c r="B264" t="s">
        <v>362</v>
      </c>
      <c r="C264">
        <v>2</v>
      </c>
      <c r="D264">
        <v>6</v>
      </c>
      <c r="E264">
        <v>2</v>
      </c>
      <c r="G264">
        <v>8</v>
      </c>
      <c r="H264">
        <v>2</v>
      </c>
      <c r="I264">
        <f t="shared" si="16"/>
        <v>1</v>
      </c>
      <c r="J264">
        <f t="shared" si="17"/>
        <v>1</v>
      </c>
      <c r="K264">
        <f t="shared" si="18"/>
        <v>0</v>
      </c>
      <c r="L264">
        <f t="shared" si="19"/>
        <v>1</v>
      </c>
    </row>
    <row r="265" spans="1:12" x14ac:dyDescent="0.25">
      <c r="A265" t="s">
        <v>363</v>
      </c>
      <c r="B265" t="s">
        <v>364</v>
      </c>
      <c r="C265">
        <v>16</v>
      </c>
      <c r="D265">
        <v>2</v>
      </c>
      <c r="E265">
        <v>16</v>
      </c>
      <c r="G265">
        <v>18</v>
      </c>
      <c r="H265">
        <v>16</v>
      </c>
      <c r="I265">
        <f t="shared" si="16"/>
        <v>1</v>
      </c>
      <c r="J265">
        <f t="shared" si="17"/>
        <v>1</v>
      </c>
      <c r="K265">
        <f t="shared" si="18"/>
        <v>0</v>
      </c>
      <c r="L265">
        <f t="shared" si="19"/>
        <v>1</v>
      </c>
    </row>
    <row r="266" spans="1:12" x14ac:dyDescent="0.25">
      <c r="A266" t="s">
        <v>365</v>
      </c>
      <c r="B266" t="s">
        <v>366</v>
      </c>
      <c r="C266">
        <v>14</v>
      </c>
      <c r="D266">
        <v>12</v>
      </c>
      <c r="E266">
        <v>4</v>
      </c>
      <c r="G266">
        <v>26</v>
      </c>
      <c r="H266">
        <v>4</v>
      </c>
      <c r="I266">
        <f t="shared" si="16"/>
        <v>1</v>
      </c>
      <c r="J266">
        <f t="shared" si="17"/>
        <v>1</v>
      </c>
      <c r="K266">
        <f t="shared" si="18"/>
        <v>0</v>
      </c>
      <c r="L266">
        <f t="shared" si="19"/>
        <v>1</v>
      </c>
    </row>
    <row r="267" spans="1:12" x14ac:dyDescent="0.25">
      <c r="A267" t="s">
        <v>367</v>
      </c>
      <c r="B267" t="s">
        <v>368</v>
      </c>
      <c r="C267">
        <v>6</v>
      </c>
      <c r="D267">
        <v>6</v>
      </c>
      <c r="E267">
        <v>0</v>
      </c>
      <c r="G267">
        <v>12</v>
      </c>
      <c r="H267">
        <v>0</v>
      </c>
      <c r="I267">
        <f t="shared" si="16"/>
        <v>1</v>
      </c>
      <c r="J267">
        <f t="shared" si="17"/>
        <v>0</v>
      </c>
      <c r="K267">
        <f t="shared" si="18"/>
        <v>0</v>
      </c>
      <c r="L267">
        <f t="shared" si="19"/>
        <v>1</v>
      </c>
    </row>
    <row r="268" spans="1:12" x14ac:dyDescent="0.25">
      <c r="A268" t="s">
        <v>369</v>
      </c>
      <c r="B268" t="s">
        <v>368</v>
      </c>
      <c r="C268">
        <v>6</v>
      </c>
      <c r="D268">
        <v>6</v>
      </c>
      <c r="E268">
        <v>2</v>
      </c>
      <c r="G268">
        <v>12</v>
      </c>
      <c r="H268">
        <v>2</v>
      </c>
      <c r="I268">
        <f t="shared" si="16"/>
        <v>1</v>
      </c>
      <c r="J268">
        <f t="shared" si="17"/>
        <v>1</v>
      </c>
      <c r="K268">
        <f t="shared" si="18"/>
        <v>0</v>
      </c>
      <c r="L268">
        <f t="shared" si="19"/>
        <v>1</v>
      </c>
    </row>
    <row r="269" spans="1:12" x14ac:dyDescent="0.25">
      <c r="A269" t="s">
        <v>370</v>
      </c>
      <c r="B269" t="s">
        <v>84</v>
      </c>
      <c r="C269">
        <v>6</v>
      </c>
      <c r="D269">
        <v>6</v>
      </c>
      <c r="G269">
        <v>12</v>
      </c>
      <c r="H269">
        <v>0</v>
      </c>
      <c r="I269">
        <f t="shared" si="16"/>
        <v>1</v>
      </c>
      <c r="J269">
        <f t="shared" si="17"/>
        <v>0</v>
      </c>
      <c r="K269">
        <f t="shared" si="18"/>
        <v>0</v>
      </c>
      <c r="L269">
        <f t="shared" si="19"/>
        <v>1</v>
      </c>
    </row>
    <row r="270" spans="1:12" x14ac:dyDescent="0.25">
      <c r="A270" t="s">
        <v>371</v>
      </c>
      <c r="B270" t="s">
        <v>84</v>
      </c>
      <c r="C270">
        <v>6</v>
      </c>
      <c r="D270">
        <v>0</v>
      </c>
      <c r="G270">
        <v>6</v>
      </c>
      <c r="H270">
        <v>0</v>
      </c>
      <c r="I270">
        <f t="shared" si="16"/>
        <v>1</v>
      </c>
      <c r="J270">
        <f t="shared" si="17"/>
        <v>0</v>
      </c>
      <c r="K270">
        <f t="shared" si="18"/>
        <v>0</v>
      </c>
      <c r="L270">
        <f t="shared" si="19"/>
        <v>0</v>
      </c>
    </row>
    <row r="271" spans="1:12" x14ac:dyDescent="0.25">
      <c r="A271" t="s">
        <v>372</v>
      </c>
      <c r="B271" t="s">
        <v>84</v>
      </c>
      <c r="C271">
        <v>8</v>
      </c>
      <c r="D271">
        <v>12</v>
      </c>
      <c r="G271">
        <v>20</v>
      </c>
      <c r="H271">
        <v>0</v>
      </c>
      <c r="I271">
        <f t="shared" si="16"/>
        <v>1</v>
      </c>
      <c r="J271">
        <f t="shared" si="17"/>
        <v>0</v>
      </c>
      <c r="K271">
        <f t="shared" si="18"/>
        <v>0</v>
      </c>
      <c r="L271">
        <f t="shared" si="19"/>
        <v>1</v>
      </c>
    </row>
    <row r="272" spans="1:12" x14ac:dyDescent="0.25">
      <c r="A272" t="s">
        <v>373</v>
      </c>
      <c r="B272" t="s">
        <v>84</v>
      </c>
      <c r="C272">
        <v>12</v>
      </c>
      <c r="D272">
        <v>0</v>
      </c>
      <c r="G272">
        <v>12</v>
      </c>
      <c r="H272">
        <v>0</v>
      </c>
      <c r="I272">
        <f t="shared" si="16"/>
        <v>1</v>
      </c>
      <c r="J272">
        <f t="shared" si="17"/>
        <v>0</v>
      </c>
      <c r="K272">
        <f t="shared" si="18"/>
        <v>0</v>
      </c>
      <c r="L272">
        <f t="shared" si="19"/>
        <v>0</v>
      </c>
    </row>
    <row r="273" spans="1:12" x14ac:dyDescent="0.25">
      <c r="A273" t="s">
        <v>374</v>
      </c>
      <c r="B273" t="s">
        <v>84</v>
      </c>
      <c r="C273">
        <v>4</v>
      </c>
      <c r="D273">
        <v>0</v>
      </c>
      <c r="G273">
        <v>4</v>
      </c>
      <c r="H273">
        <v>0</v>
      </c>
      <c r="I273">
        <f t="shared" si="16"/>
        <v>1</v>
      </c>
      <c r="J273">
        <f t="shared" si="17"/>
        <v>0</v>
      </c>
      <c r="K273">
        <f t="shared" si="18"/>
        <v>0</v>
      </c>
      <c r="L273">
        <f t="shared" si="19"/>
        <v>0</v>
      </c>
    </row>
    <row r="274" spans="1:12" x14ac:dyDescent="0.25">
      <c r="A274" t="s">
        <v>375</v>
      </c>
      <c r="B274" t="s">
        <v>84</v>
      </c>
      <c r="C274">
        <v>8</v>
      </c>
      <c r="D274">
        <v>8</v>
      </c>
      <c r="G274">
        <v>16</v>
      </c>
      <c r="H274">
        <v>0</v>
      </c>
      <c r="I274">
        <f t="shared" si="16"/>
        <v>1</v>
      </c>
      <c r="J274">
        <f t="shared" si="17"/>
        <v>0</v>
      </c>
      <c r="K274">
        <f t="shared" si="18"/>
        <v>0</v>
      </c>
      <c r="L274">
        <f t="shared" si="19"/>
        <v>1</v>
      </c>
    </row>
    <row r="275" spans="1:12" x14ac:dyDescent="0.25">
      <c r="A275" t="s">
        <v>376</v>
      </c>
      <c r="B275" t="s">
        <v>84</v>
      </c>
      <c r="C275">
        <v>8</v>
      </c>
      <c r="D275">
        <v>52</v>
      </c>
      <c r="G275">
        <v>60</v>
      </c>
      <c r="H275">
        <v>0</v>
      </c>
      <c r="I275">
        <f t="shared" si="16"/>
        <v>1</v>
      </c>
      <c r="J275">
        <f t="shared" si="17"/>
        <v>0</v>
      </c>
      <c r="K275">
        <f t="shared" si="18"/>
        <v>0</v>
      </c>
      <c r="L275">
        <f t="shared" si="19"/>
        <v>1</v>
      </c>
    </row>
    <row r="276" spans="1:12" x14ac:dyDescent="0.25">
      <c r="A276" t="s">
        <v>377</v>
      </c>
      <c r="B276" t="s">
        <v>84</v>
      </c>
      <c r="C276">
        <v>14</v>
      </c>
      <c r="D276">
        <v>6</v>
      </c>
      <c r="G276">
        <v>20</v>
      </c>
      <c r="H276">
        <v>0</v>
      </c>
      <c r="I276">
        <f t="shared" si="16"/>
        <v>1</v>
      </c>
      <c r="J276">
        <f t="shared" si="17"/>
        <v>0</v>
      </c>
      <c r="K276">
        <f t="shared" si="18"/>
        <v>0</v>
      </c>
      <c r="L276">
        <f t="shared" si="19"/>
        <v>1</v>
      </c>
    </row>
    <row r="277" spans="1:12" x14ac:dyDescent="0.25">
      <c r="A277" t="s">
        <v>378</v>
      </c>
      <c r="B277" t="s">
        <v>9</v>
      </c>
      <c r="C277">
        <v>6</v>
      </c>
      <c r="D277">
        <v>6</v>
      </c>
      <c r="G277">
        <v>12</v>
      </c>
      <c r="H277">
        <v>0</v>
      </c>
      <c r="I277">
        <f t="shared" si="16"/>
        <v>1</v>
      </c>
      <c r="J277">
        <f t="shared" si="17"/>
        <v>0</v>
      </c>
      <c r="K277">
        <f t="shared" si="18"/>
        <v>0</v>
      </c>
      <c r="L277">
        <f t="shared" si="19"/>
        <v>1</v>
      </c>
    </row>
    <row r="278" spans="1:12" x14ac:dyDescent="0.25">
      <c r="A278" t="s">
        <v>379</v>
      </c>
      <c r="B278" t="s">
        <v>9</v>
      </c>
      <c r="C278">
        <v>6</v>
      </c>
      <c r="D278">
        <v>0</v>
      </c>
      <c r="G278">
        <v>6</v>
      </c>
      <c r="H278">
        <v>0</v>
      </c>
      <c r="I278">
        <f t="shared" si="16"/>
        <v>1</v>
      </c>
      <c r="J278">
        <f t="shared" si="17"/>
        <v>0</v>
      </c>
      <c r="K278">
        <f t="shared" si="18"/>
        <v>0</v>
      </c>
      <c r="L278">
        <f t="shared" si="19"/>
        <v>0</v>
      </c>
    </row>
    <row r="279" spans="1:12" x14ac:dyDescent="0.25">
      <c r="A279" t="s">
        <v>380</v>
      </c>
      <c r="B279" t="s">
        <v>9</v>
      </c>
      <c r="C279">
        <v>4</v>
      </c>
      <c r="D279">
        <v>4</v>
      </c>
      <c r="G279">
        <v>8</v>
      </c>
      <c r="H279">
        <v>0</v>
      </c>
      <c r="I279">
        <f t="shared" si="16"/>
        <v>1</v>
      </c>
      <c r="J279">
        <f t="shared" si="17"/>
        <v>0</v>
      </c>
      <c r="K279">
        <f t="shared" si="18"/>
        <v>0</v>
      </c>
      <c r="L279">
        <f t="shared" si="19"/>
        <v>1</v>
      </c>
    </row>
    <row r="280" spans="1:12" x14ac:dyDescent="0.25">
      <c r="A280" t="s">
        <v>381</v>
      </c>
      <c r="B280" t="s">
        <v>9</v>
      </c>
      <c r="C280">
        <v>12</v>
      </c>
      <c r="D280">
        <v>0</v>
      </c>
      <c r="G280">
        <v>12</v>
      </c>
      <c r="H280">
        <v>0</v>
      </c>
      <c r="I280">
        <f t="shared" si="16"/>
        <v>1</v>
      </c>
      <c r="J280">
        <f t="shared" si="17"/>
        <v>0</v>
      </c>
      <c r="K280">
        <f t="shared" si="18"/>
        <v>0</v>
      </c>
      <c r="L280">
        <f t="shared" si="19"/>
        <v>0</v>
      </c>
    </row>
    <row r="281" spans="1:12" x14ac:dyDescent="0.25">
      <c r="A281" t="s">
        <v>382</v>
      </c>
      <c r="B281" t="s">
        <v>9</v>
      </c>
      <c r="C281">
        <v>12</v>
      </c>
      <c r="D281">
        <v>0</v>
      </c>
      <c r="G281">
        <v>12</v>
      </c>
      <c r="H281">
        <v>0</v>
      </c>
      <c r="I281">
        <f t="shared" si="16"/>
        <v>1</v>
      </c>
      <c r="J281">
        <f t="shared" si="17"/>
        <v>0</v>
      </c>
      <c r="K281">
        <f t="shared" si="18"/>
        <v>0</v>
      </c>
      <c r="L281">
        <f t="shared" si="19"/>
        <v>0</v>
      </c>
    </row>
    <row r="282" spans="1:12" x14ac:dyDescent="0.25">
      <c r="A282" t="s">
        <v>383</v>
      </c>
      <c r="B282" t="s">
        <v>9</v>
      </c>
      <c r="C282">
        <v>3</v>
      </c>
      <c r="D282">
        <v>12</v>
      </c>
      <c r="G282">
        <v>15</v>
      </c>
      <c r="H282">
        <v>0</v>
      </c>
      <c r="I282">
        <f t="shared" si="16"/>
        <v>1</v>
      </c>
      <c r="J282">
        <f t="shared" si="17"/>
        <v>0</v>
      </c>
      <c r="K282">
        <f t="shared" si="18"/>
        <v>0</v>
      </c>
      <c r="L282">
        <f t="shared" si="19"/>
        <v>1</v>
      </c>
    </row>
    <row r="283" spans="1:12" x14ac:dyDescent="0.25">
      <c r="A283" t="s">
        <v>384</v>
      </c>
      <c r="B283" t="s">
        <v>9</v>
      </c>
      <c r="C283">
        <v>10</v>
      </c>
      <c r="D283">
        <v>10</v>
      </c>
      <c r="G283">
        <v>20</v>
      </c>
      <c r="H283">
        <v>0</v>
      </c>
      <c r="I283">
        <f t="shared" si="16"/>
        <v>1</v>
      </c>
      <c r="J283">
        <f t="shared" si="17"/>
        <v>0</v>
      </c>
      <c r="K283">
        <f t="shared" si="18"/>
        <v>0</v>
      </c>
      <c r="L283">
        <f t="shared" si="19"/>
        <v>1</v>
      </c>
    </row>
    <row r="284" spans="1:12" x14ac:dyDescent="0.25">
      <c r="A284" t="s">
        <v>385</v>
      </c>
      <c r="B284" t="s">
        <v>9</v>
      </c>
      <c r="C284">
        <v>4</v>
      </c>
      <c r="D284">
        <v>0</v>
      </c>
      <c r="G284">
        <v>4</v>
      </c>
      <c r="H284">
        <v>0</v>
      </c>
      <c r="I284">
        <f t="shared" si="16"/>
        <v>1</v>
      </c>
      <c r="J284">
        <f t="shared" si="17"/>
        <v>0</v>
      </c>
      <c r="K284">
        <f t="shared" si="18"/>
        <v>0</v>
      </c>
      <c r="L284">
        <f t="shared" si="19"/>
        <v>0</v>
      </c>
    </row>
    <row r="285" spans="1:12" x14ac:dyDescent="0.25">
      <c r="A285" t="s">
        <v>386</v>
      </c>
      <c r="B285" t="s">
        <v>9</v>
      </c>
      <c r="C285">
        <v>12</v>
      </c>
      <c r="D285">
        <v>0</v>
      </c>
      <c r="G285">
        <v>12</v>
      </c>
      <c r="H285">
        <v>0</v>
      </c>
      <c r="I285">
        <f t="shared" si="16"/>
        <v>1</v>
      </c>
      <c r="J285">
        <f t="shared" si="17"/>
        <v>0</v>
      </c>
      <c r="K285">
        <f t="shared" si="18"/>
        <v>0</v>
      </c>
      <c r="L285">
        <f t="shared" si="19"/>
        <v>0</v>
      </c>
    </row>
    <row r="286" spans="1:12" x14ac:dyDescent="0.25">
      <c r="A286" t="s">
        <v>387</v>
      </c>
      <c r="B286" t="s">
        <v>9</v>
      </c>
      <c r="C286">
        <v>12</v>
      </c>
      <c r="D286">
        <v>4</v>
      </c>
      <c r="G286">
        <v>16</v>
      </c>
      <c r="H286">
        <v>0</v>
      </c>
      <c r="I286">
        <f t="shared" si="16"/>
        <v>1</v>
      </c>
      <c r="J286">
        <f t="shared" si="17"/>
        <v>0</v>
      </c>
      <c r="K286">
        <f t="shared" si="18"/>
        <v>0</v>
      </c>
      <c r="L286">
        <f t="shared" si="19"/>
        <v>1</v>
      </c>
    </row>
    <row r="287" spans="1:12" x14ac:dyDescent="0.25">
      <c r="A287" t="s">
        <v>388</v>
      </c>
      <c r="B287" t="s">
        <v>9</v>
      </c>
      <c r="C287">
        <v>8</v>
      </c>
      <c r="D287">
        <v>0</v>
      </c>
      <c r="G287">
        <v>8</v>
      </c>
      <c r="H287">
        <v>0</v>
      </c>
      <c r="I287">
        <f t="shared" si="16"/>
        <v>1</v>
      </c>
      <c r="J287">
        <f t="shared" si="17"/>
        <v>0</v>
      </c>
      <c r="K287">
        <f t="shared" si="18"/>
        <v>0</v>
      </c>
      <c r="L287">
        <f t="shared" si="19"/>
        <v>0</v>
      </c>
    </row>
    <row r="288" spans="1:12" x14ac:dyDescent="0.25">
      <c r="A288" t="s">
        <v>389</v>
      </c>
      <c r="B288" t="s">
        <v>9</v>
      </c>
      <c r="C288">
        <v>6</v>
      </c>
      <c r="D288">
        <v>9</v>
      </c>
      <c r="G288">
        <v>15</v>
      </c>
      <c r="H288">
        <v>0</v>
      </c>
      <c r="I288">
        <f t="shared" si="16"/>
        <v>1</v>
      </c>
      <c r="J288">
        <f t="shared" si="17"/>
        <v>0</v>
      </c>
      <c r="K288">
        <f t="shared" si="18"/>
        <v>0</v>
      </c>
      <c r="L288">
        <f t="shared" si="19"/>
        <v>1</v>
      </c>
    </row>
    <row r="289" spans="1:12" x14ac:dyDescent="0.25">
      <c r="A289" t="s">
        <v>390</v>
      </c>
      <c r="B289" t="s">
        <v>9</v>
      </c>
      <c r="C289">
        <v>1</v>
      </c>
      <c r="D289">
        <v>0</v>
      </c>
      <c r="G289">
        <v>1</v>
      </c>
      <c r="H289">
        <v>0</v>
      </c>
      <c r="I289">
        <f t="shared" si="16"/>
        <v>1</v>
      </c>
      <c r="J289">
        <f t="shared" si="17"/>
        <v>0</v>
      </c>
      <c r="K289">
        <f t="shared" si="18"/>
        <v>0</v>
      </c>
      <c r="L289">
        <f t="shared" si="19"/>
        <v>0</v>
      </c>
    </row>
    <row r="290" spans="1:12" x14ac:dyDescent="0.25">
      <c r="A290" t="s">
        <v>391</v>
      </c>
      <c r="B290" t="s">
        <v>9</v>
      </c>
      <c r="C290">
        <v>12</v>
      </c>
      <c r="D290">
        <v>0</v>
      </c>
      <c r="G290">
        <v>12</v>
      </c>
      <c r="H290">
        <v>0</v>
      </c>
      <c r="I290">
        <f t="shared" si="16"/>
        <v>1</v>
      </c>
      <c r="J290">
        <f t="shared" si="17"/>
        <v>0</v>
      </c>
      <c r="K290">
        <f t="shared" si="18"/>
        <v>0</v>
      </c>
      <c r="L290">
        <f t="shared" si="19"/>
        <v>0</v>
      </c>
    </row>
    <row r="291" spans="1:12" x14ac:dyDescent="0.25">
      <c r="A291" t="s">
        <v>392</v>
      </c>
      <c r="B291" t="s">
        <v>9</v>
      </c>
      <c r="C291">
        <v>11</v>
      </c>
      <c r="D291">
        <v>1</v>
      </c>
      <c r="G291">
        <v>12</v>
      </c>
      <c r="H291">
        <v>0</v>
      </c>
      <c r="I291">
        <f t="shared" si="16"/>
        <v>1</v>
      </c>
      <c r="J291">
        <f t="shared" si="17"/>
        <v>0</v>
      </c>
      <c r="K291">
        <f t="shared" si="18"/>
        <v>0</v>
      </c>
      <c r="L291">
        <f t="shared" si="19"/>
        <v>1</v>
      </c>
    </row>
    <row r="292" spans="1:12" x14ac:dyDescent="0.25">
      <c r="A292" t="s">
        <v>393</v>
      </c>
      <c r="B292" t="s">
        <v>9</v>
      </c>
      <c r="C292">
        <v>12</v>
      </c>
      <c r="D292">
        <v>0</v>
      </c>
      <c r="G292">
        <v>12</v>
      </c>
      <c r="H292">
        <v>0</v>
      </c>
      <c r="I292">
        <f t="shared" si="16"/>
        <v>1</v>
      </c>
      <c r="J292">
        <f t="shared" si="17"/>
        <v>0</v>
      </c>
      <c r="K292">
        <f t="shared" si="18"/>
        <v>0</v>
      </c>
      <c r="L292">
        <f t="shared" si="19"/>
        <v>0</v>
      </c>
    </row>
    <row r="293" spans="1:12" x14ac:dyDescent="0.25">
      <c r="A293" t="s">
        <v>394</v>
      </c>
      <c r="B293" t="s">
        <v>9</v>
      </c>
      <c r="C293">
        <v>2</v>
      </c>
      <c r="D293">
        <v>12</v>
      </c>
      <c r="G293">
        <v>14</v>
      </c>
      <c r="H293">
        <v>0</v>
      </c>
      <c r="I293">
        <f t="shared" si="16"/>
        <v>1</v>
      </c>
      <c r="J293">
        <f t="shared" si="17"/>
        <v>0</v>
      </c>
      <c r="K293">
        <f t="shared" si="18"/>
        <v>0</v>
      </c>
      <c r="L293">
        <f t="shared" si="19"/>
        <v>1</v>
      </c>
    </row>
    <row r="294" spans="1:12" x14ac:dyDescent="0.25">
      <c r="A294" t="s">
        <v>395</v>
      </c>
      <c r="B294" t="s">
        <v>9</v>
      </c>
      <c r="C294">
        <v>36</v>
      </c>
      <c r="D294">
        <v>36</v>
      </c>
      <c r="G294">
        <v>72</v>
      </c>
      <c r="H294">
        <v>0</v>
      </c>
      <c r="I294">
        <f t="shared" si="16"/>
        <v>1</v>
      </c>
      <c r="J294">
        <f t="shared" si="17"/>
        <v>0</v>
      </c>
      <c r="K294">
        <f t="shared" si="18"/>
        <v>0</v>
      </c>
      <c r="L294">
        <f t="shared" si="19"/>
        <v>1</v>
      </c>
    </row>
    <row r="295" spans="1:12" x14ac:dyDescent="0.25">
      <c r="A295" t="s">
        <v>396</v>
      </c>
      <c r="B295" t="s">
        <v>9</v>
      </c>
      <c r="C295">
        <v>12</v>
      </c>
      <c r="D295">
        <v>24</v>
      </c>
      <c r="G295">
        <v>36</v>
      </c>
      <c r="H295">
        <v>0</v>
      </c>
      <c r="I295">
        <f t="shared" si="16"/>
        <v>1</v>
      </c>
      <c r="J295">
        <f t="shared" si="17"/>
        <v>0</v>
      </c>
      <c r="K295">
        <f t="shared" si="18"/>
        <v>0</v>
      </c>
      <c r="L295">
        <f t="shared" si="19"/>
        <v>1</v>
      </c>
    </row>
    <row r="296" spans="1:12" x14ac:dyDescent="0.25">
      <c r="A296" t="s">
        <v>397</v>
      </c>
      <c r="B296" t="s">
        <v>9</v>
      </c>
      <c r="C296">
        <v>8</v>
      </c>
      <c r="D296">
        <v>8</v>
      </c>
      <c r="G296">
        <v>16</v>
      </c>
      <c r="H296">
        <v>0</v>
      </c>
      <c r="I296">
        <f t="shared" si="16"/>
        <v>1</v>
      </c>
      <c r="J296">
        <f t="shared" si="17"/>
        <v>0</v>
      </c>
      <c r="K296">
        <f t="shared" si="18"/>
        <v>0</v>
      </c>
      <c r="L296">
        <f t="shared" si="19"/>
        <v>1</v>
      </c>
    </row>
    <row r="297" spans="1:12" x14ac:dyDescent="0.25">
      <c r="A297" t="s">
        <v>398</v>
      </c>
      <c r="B297" t="s">
        <v>9</v>
      </c>
      <c r="C297">
        <v>1</v>
      </c>
      <c r="D297">
        <v>1</v>
      </c>
      <c r="G297">
        <v>2</v>
      </c>
      <c r="H297">
        <v>0</v>
      </c>
      <c r="I297">
        <f t="shared" si="16"/>
        <v>1</v>
      </c>
      <c r="J297">
        <f t="shared" si="17"/>
        <v>0</v>
      </c>
      <c r="K297">
        <f t="shared" si="18"/>
        <v>0</v>
      </c>
      <c r="L297">
        <f t="shared" si="19"/>
        <v>1</v>
      </c>
    </row>
    <row r="298" spans="1:12" x14ac:dyDescent="0.25">
      <c r="A298" t="s">
        <v>399</v>
      </c>
      <c r="B298" t="s">
        <v>9</v>
      </c>
      <c r="C298">
        <v>12</v>
      </c>
      <c r="D298">
        <v>0</v>
      </c>
      <c r="G298">
        <v>12</v>
      </c>
      <c r="H298">
        <v>0</v>
      </c>
      <c r="I298">
        <f t="shared" si="16"/>
        <v>1</v>
      </c>
      <c r="J298">
        <f t="shared" si="17"/>
        <v>0</v>
      </c>
      <c r="K298">
        <f t="shared" si="18"/>
        <v>0</v>
      </c>
      <c r="L298">
        <f t="shared" si="19"/>
        <v>0</v>
      </c>
    </row>
    <row r="299" spans="1:12" x14ac:dyDescent="0.25">
      <c r="A299" t="s">
        <v>400</v>
      </c>
      <c r="B299" t="s">
        <v>9</v>
      </c>
      <c r="C299">
        <v>6</v>
      </c>
      <c r="D299">
        <v>6</v>
      </c>
      <c r="G299">
        <v>12</v>
      </c>
      <c r="H299">
        <v>0</v>
      </c>
      <c r="I299">
        <f t="shared" si="16"/>
        <v>1</v>
      </c>
      <c r="J299">
        <f t="shared" si="17"/>
        <v>0</v>
      </c>
      <c r="K299">
        <f t="shared" si="18"/>
        <v>0</v>
      </c>
      <c r="L299">
        <f t="shared" si="19"/>
        <v>1</v>
      </c>
    </row>
    <row r="300" spans="1:12" x14ac:dyDescent="0.25">
      <c r="A300" t="s">
        <v>401</v>
      </c>
      <c r="B300" t="s">
        <v>9</v>
      </c>
      <c r="C300">
        <v>4</v>
      </c>
      <c r="D300">
        <v>8</v>
      </c>
      <c r="G300">
        <v>12</v>
      </c>
      <c r="H300">
        <v>0</v>
      </c>
      <c r="I300">
        <f t="shared" si="16"/>
        <v>1</v>
      </c>
      <c r="J300">
        <f t="shared" si="17"/>
        <v>0</v>
      </c>
      <c r="K300">
        <f t="shared" si="18"/>
        <v>0</v>
      </c>
      <c r="L300">
        <f t="shared" si="19"/>
        <v>1</v>
      </c>
    </row>
    <row r="301" spans="1:12" x14ac:dyDescent="0.25">
      <c r="A301" t="s">
        <v>402</v>
      </c>
      <c r="B301" t="s">
        <v>9</v>
      </c>
      <c r="C301">
        <v>12</v>
      </c>
      <c r="D301">
        <v>12</v>
      </c>
      <c r="G301">
        <v>24</v>
      </c>
      <c r="H301">
        <v>0</v>
      </c>
      <c r="I301">
        <f t="shared" si="16"/>
        <v>1</v>
      </c>
      <c r="J301">
        <f t="shared" si="17"/>
        <v>0</v>
      </c>
      <c r="K301">
        <f t="shared" si="18"/>
        <v>0</v>
      </c>
      <c r="L301">
        <f t="shared" si="19"/>
        <v>1</v>
      </c>
    </row>
    <row r="302" spans="1:12" x14ac:dyDescent="0.25">
      <c r="A302" t="s">
        <v>403</v>
      </c>
      <c r="B302" t="s">
        <v>9</v>
      </c>
      <c r="C302">
        <v>48</v>
      </c>
      <c r="D302">
        <v>4</v>
      </c>
      <c r="G302">
        <v>52</v>
      </c>
      <c r="H302">
        <v>0</v>
      </c>
      <c r="I302">
        <f t="shared" si="16"/>
        <v>1</v>
      </c>
      <c r="J302">
        <f t="shared" si="17"/>
        <v>0</v>
      </c>
      <c r="K302">
        <f t="shared" si="18"/>
        <v>0</v>
      </c>
      <c r="L302">
        <f t="shared" si="19"/>
        <v>1</v>
      </c>
    </row>
    <row r="303" spans="1:12" x14ac:dyDescent="0.25">
      <c r="A303" t="s">
        <v>404</v>
      </c>
      <c r="B303" t="s">
        <v>9</v>
      </c>
      <c r="C303">
        <v>2</v>
      </c>
      <c r="D303">
        <v>10</v>
      </c>
      <c r="G303">
        <v>12</v>
      </c>
      <c r="H303">
        <v>0</v>
      </c>
      <c r="I303">
        <f t="shared" si="16"/>
        <v>1</v>
      </c>
      <c r="J303">
        <f t="shared" si="17"/>
        <v>0</v>
      </c>
      <c r="K303">
        <f t="shared" si="18"/>
        <v>0</v>
      </c>
      <c r="L303">
        <f t="shared" si="19"/>
        <v>1</v>
      </c>
    </row>
    <row r="304" spans="1:12" x14ac:dyDescent="0.25">
      <c r="A304" t="s">
        <v>405</v>
      </c>
      <c r="B304" t="s">
        <v>9</v>
      </c>
      <c r="C304">
        <v>12</v>
      </c>
      <c r="D304">
        <v>0</v>
      </c>
      <c r="G304">
        <v>12</v>
      </c>
      <c r="H304">
        <v>0</v>
      </c>
      <c r="I304">
        <f t="shared" si="16"/>
        <v>1</v>
      </c>
      <c r="J304">
        <f t="shared" si="17"/>
        <v>0</v>
      </c>
      <c r="K304">
        <f t="shared" si="18"/>
        <v>0</v>
      </c>
      <c r="L304">
        <f t="shared" si="19"/>
        <v>0</v>
      </c>
    </row>
    <row r="305" spans="1:12" x14ac:dyDescent="0.25">
      <c r="A305" t="s">
        <v>406</v>
      </c>
      <c r="B305" t="s">
        <v>9</v>
      </c>
      <c r="C305">
        <v>13</v>
      </c>
      <c r="D305">
        <v>0</v>
      </c>
      <c r="G305">
        <v>13</v>
      </c>
      <c r="H305">
        <v>0</v>
      </c>
      <c r="I305">
        <f t="shared" si="16"/>
        <v>1</v>
      </c>
      <c r="J305">
        <f t="shared" si="17"/>
        <v>0</v>
      </c>
      <c r="K305">
        <f t="shared" si="18"/>
        <v>0</v>
      </c>
      <c r="L305">
        <f t="shared" si="19"/>
        <v>0</v>
      </c>
    </row>
    <row r="306" spans="1:12" x14ac:dyDescent="0.25">
      <c r="A306" t="s">
        <v>407</v>
      </c>
      <c r="B306" t="s">
        <v>9</v>
      </c>
      <c r="C306">
        <v>12</v>
      </c>
      <c r="D306">
        <v>0</v>
      </c>
      <c r="G306">
        <v>12</v>
      </c>
      <c r="H306">
        <v>0</v>
      </c>
      <c r="I306">
        <f t="shared" si="16"/>
        <v>1</v>
      </c>
      <c r="J306">
        <f t="shared" si="17"/>
        <v>0</v>
      </c>
      <c r="K306">
        <f t="shared" si="18"/>
        <v>0</v>
      </c>
      <c r="L306">
        <f t="shared" si="19"/>
        <v>0</v>
      </c>
    </row>
    <row r="307" spans="1:12" x14ac:dyDescent="0.25">
      <c r="A307" t="s">
        <v>408</v>
      </c>
      <c r="B307" t="s">
        <v>9</v>
      </c>
      <c r="C307">
        <v>3</v>
      </c>
      <c r="D307">
        <v>9</v>
      </c>
      <c r="G307">
        <v>12</v>
      </c>
      <c r="H307">
        <v>0</v>
      </c>
      <c r="I307">
        <f t="shared" si="16"/>
        <v>1</v>
      </c>
      <c r="J307">
        <f t="shared" si="17"/>
        <v>0</v>
      </c>
      <c r="K307">
        <f t="shared" si="18"/>
        <v>0</v>
      </c>
      <c r="L307">
        <f t="shared" si="19"/>
        <v>1</v>
      </c>
    </row>
    <row r="308" spans="1:12" x14ac:dyDescent="0.25">
      <c r="A308" t="s">
        <v>409</v>
      </c>
      <c r="B308" t="s">
        <v>9</v>
      </c>
      <c r="C308">
        <v>12</v>
      </c>
      <c r="D308">
        <v>0</v>
      </c>
      <c r="G308">
        <v>12</v>
      </c>
      <c r="H308">
        <v>0</v>
      </c>
      <c r="I308">
        <f t="shared" si="16"/>
        <v>1</v>
      </c>
      <c r="J308">
        <f t="shared" si="17"/>
        <v>0</v>
      </c>
      <c r="K308">
        <f t="shared" si="18"/>
        <v>0</v>
      </c>
      <c r="L308">
        <f t="shared" si="19"/>
        <v>0</v>
      </c>
    </row>
    <row r="309" spans="1:12" x14ac:dyDescent="0.25">
      <c r="A309" t="s">
        <v>410</v>
      </c>
      <c r="B309" t="s">
        <v>9</v>
      </c>
      <c r="C309">
        <v>6</v>
      </c>
      <c r="D309">
        <v>0</v>
      </c>
      <c r="G309">
        <v>6</v>
      </c>
      <c r="H309">
        <v>0</v>
      </c>
      <c r="I309">
        <f t="shared" si="16"/>
        <v>1</v>
      </c>
      <c r="J309">
        <f t="shared" si="17"/>
        <v>0</v>
      </c>
      <c r="K309">
        <f t="shared" si="18"/>
        <v>0</v>
      </c>
      <c r="L309">
        <f t="shared" si="19"/>
        <v>0</v>
      </c>
    </row>
    <row r="310" spans="1:12" x14ac:dyDescent="0.25">
      <c r="A310" t="s">
        <v>411</v>
      </c>
      <c r="B310" t="s">
        <v>9</v>
      </c>
      <c r="C310">
        <v>4.5</v>
      </c>
      <c r="D310">
        <v>14</v>
      </c>
      <c r="G310">
        <v>18.5</v>
      </c>
      <c r="H310">
        <v>0</v>
      </c>
      <c r="I310">
        <f t="shared" si="16"/>
        <v>1</v>
      </c>
      <c r="J310">
        <f t="shared" si="17"/>
        <v>0</v>
      </c>
      <c r="K310">
        <f t="shared" si="18"/>
        <v>0</v>
      </c>
      <c r="L310">
        <f t="shared" si="19"/>
        <v>1</v>
      </c>
    </row>
    <row r="311" spans="1:12" x14ac:dyDescent="0.25">
      <c r="A311" t="s">
        <v>412</v>
      </c>
      <c r="B311" t="s">
        <v>9</v>
      </c>
      <c r="C311">
        <v>6</v>
      </c>
      <c r="D311">
        <v>4</v>
      </c>
      <c r="G311">
        <v>10</v>
      </c>
      <c r="H311">
        <v>0</v>
      </c>
      <c r="I311">
        <f t="shared" si="16"/>
        <v>1</v>
      </c>
      <c r="J311">
        <f t="shared" si="17"/>
        <v>0</v>
      </c>
      <c r="K311">
        <f t="shared" si="18"/>
        <v>0</v>
      </c>
      <c r="L311">
        <f t="shared" si="19"/>
        <v>1</v>
      </c>
    </row>
    <row r="312" spans="1:12" x14ac:dyDescent="0.25">
      <c r="A312" t="s">
        <v>413</v>
      </c>
      <c r="B312" t="s">
        <v>9</v>
      </c>
      <c r="C312">
        <v>4</v>
      </c>
      <c r="D312">
        <v>2</v>
      </c>
      <c r="G312">
        <v>6</v>
      </c>
      <c r="H312">
        <v>0</v>
      </c>
      <c r="I312">
        <f t="shared" si="16"/>
        <v>1</v>
      </c>
      <c r="J312">
        <f t="shared" si="17"/>
        <v>0</v>
      </c>
      <c r="K312">
        <f t="shared" si="18"/>
        <v>0</v>
      </c>
      <c r="L312">
        <f t="shared" si="19"/>
        <v>1</v>
      </c>
    </row>
    <row r="313" spans="1:12" x14ac:dyDescent="0.25">
      <c r="A313" t="s">
        <v>414</v>
      </c>
      <c r="B313" t="s">
        <v>9</v>
      </c>
      <c r="C313">
        <v>13</v>
      </c>
      <c r="D313">
        <v>13</v>
      </c>
      <c r="G313">
        <v>26</v>
      </c>
      <c r="H313">
        <v>0</v>
      </c>
      <c r="I313">
        <f t="shared" si="16"/>
        <v>1</v>
      </c>
      <c r="J313">
        <f t="shared" si="17"/>
        <v>0</v>
      </c>
      <c r="K313">
        <f t="shared" si="18"/>
        <v>0</v>
      </c>
      <c r="L313">
        <f t="shared" si="19"/>
        <v>1</v>
      </c>
    </row>
    <row r="314" spans="1:12" x14ac:dyDescent="0.25">
      <c r="A314" t="s">
        <v>415</v>
      </c>
      <c r="B314" t="s">
        <v>9</v>
      </c>
      <c r="C314">
        <v>4</v>
      </c>
      <c r="D314">
        <v>8</v>
      </c>
      <c r="G314">
        <v>12</v>
      </c>
      <c r="H314">
        <v>0</v>
      </c>
      <c r="I314">
        <f t="shared" si="16"/>
        <v>1</v>
      </c>
      <c r="J314">
        <f t="shared" si="17"/>
        <v>0</v>
      </c>
      <c r="K314">
        <f t="shared" si="18"/>
        <v>0</v>
      </c>
      <c r="L314">
        <f t="shared" si="19"/>
        <v>1</v>
      </c>
    </row>
    <row r="315" spans="1:12" x14ac:dyDescent="0.25">
      <c r="A315" t="s">
        <v>416</v>
      </c>
      <c r="B315" t="s">
        <v>9</v>
      </c>
      <c r="C315">
        <v>6</v>
      </c>
      <c r="D315">
        <v>6</v>
      </c>
      <c r="G315">
        <v>12</v>
      </c>
      <c r="H315">
        <v>0</v>
      </c>
      <c r="I315">
        <f t="shared" si="16"/>
        <v>1</v>
      </c>
      <c r="J315">
        <f t="shared" si="17"/>
        <v>0</v>
      </c>
      <c r="K315">
        <f t="shared" si="18"/>
        <v>0</v>
      </c>
      <c r="L315">
        <f t="shared" si="19"/>
        <v>1</v>
      </c>
    </row>
    <row r="316" spans="1:12" x14ac:dyDescent="0.25">
      <c r="A316" t="s">
        <v>417</v>
      </c>
      <c r="B316" t="s">
        <v>9</v>
      </c>
      <c r="C316">
        <v>12</v>
      </c>
      <c r="D316">
        <v>0</v>
      </c>
      <c r="G316">
        <v>12</v>
      </c>
      <c r="H316">
        <v>0</v>
      </c>
      <c r="I316">
        <f t="shared" si="16"/>
        <v>1</v>
      </c>
      <c r="J316">
        <f t="shared" si="17"/>
        <v>0</v>
      </c>
      <c r="K316">
        <f t="shared" si="18"/>
        <v>0</v>
      </c>
      <c r="L316">
        <f t="shared" si="19"/>
        <v>0</v>
      </c>
    </row>
    <row r="317" spans="1:12" x14ac:dyDescent="0.25">
      <c r="A317" t="s">
        <v>418</v>
      </c>
      <c r="B317" t="s">
        <v>9</v>
      </c>
      <c r="C317">
        <v>20</v>
      </c>
      <c r="D317">
        <v>0</v>
      </c>
      <c r="G317">
        <v>20</v>
      </c>
      <c r="H317">
        <v>0</v>
      </c>
      <c r="I317">
        <f t="shared" si="16"/>
        <v>1</v>
      </c>
      <c r="J317">
        <f t="shared" si="17"/>
        <v>0</v>
      </c>
      <c r="K317">
        <f t="shared" si="18"/>
        <v>0</v>
      </c>
      <c r="L317">
        <f t="shared" si="19"/>
        <v>0</v>
      </c>
    </row>
    <row r="318" spans="1:12" x14ac:dyDescent="0.25">
      <c r="A318" t="s">
        <v>419</v>
      </c>
      <c r="B318" t="s">
        <v>9</v>
      </c>
      <c r="C318">
        <v>7</v>
      </c>
      <c r="D318">
        <v>12</v>
      </c>
      <c r="G318">
        <v>19</v>
      </c>
      <c r="H318">
        <v>0</v>
      </c>
      <c r="I318">
        <f t="shared" si="16"/>
        <v>1</v>
      </c>
      <c r="J318">
        <f t="shared" si="17"/>
        <v>0</v>
      </c>
      <c r="K318">
        <f t="shared" si="18"/>
        <v>0</v>
      </c>
      <c r="L318">
        <f t="shared" si="19"/>
        <v>1</v>
      </c>
    </row>
    <row r="319" spans="1:12" x14ac:dyDescent="0.25">
      <c r="A319" t="s">
        <v>420</v>
      </c>
      <c r="B319" t="s">
        <v>9</v>
      </c>
      <c r="C319">
        <v>9</v>
      </c>
      <c r="D319">
        <v>2</v>
      </c>
      <c r="G319">
        <v>11</v>
      </c>
      <c r="H319">
        <v>0</v>
      </c>
      <c r="I319">
        <f t="shared" si="16"/>
        <v>1</v>
      </c>
      <c r="J319">
        <f t="shared" si="17"/>
        <v>0</v>
      </c>
      <c r="K319">
        <f t="shared" si="18"/>
        <v>0</v>
      </c>
      <c r="L319">
        <f t="shared" si="19"/>
        <v>1</v>
      </c>
    </row>
    <row r="320" spans="1:12" x14ac:dyDescent="0.25">
      <c r="A320" t="s">
        <v>421</v>
      </c>
      <c r="B320" t="s">
        <v>9</v>
      </c>
      <c r="C320">
        <v>24</v>
      </c>
      <c r="D320">
        <v>0</v>
      </c>
      <c r="G320">
        <v>24</v>
      </c>
      <c r="H320">
        <v>0</v>
      </c>
      <c r="I320">
        <f t="shared" si="16"/>
        <v>1</v>
      </c>
      <c r="J320">
        <f t="shared" si="17"/>
        <v>0</v>
      </c>
      <c r="K320">
        <f t="shared" si="18"/>
        <v>0</v>
      </c>
      <c r="L320">
        <f t="shared" si="19"/>
        <v>0</v>
      </c>
    </row>
    <row r="321" spans="1:12" x14ac:dyDescent="0.25">
      <c r="A321" t="s">
        <v>422</v>
      </c>
      <c r="B321" t="s">
        <v>9</v>
      </c>
      <c r="C321">
        <v>3</v>
      </c>
      <c r="D321">
        <v>9</v>
      </c>
      <c r="G321">
        <v>12</v>
      </c>
      <c r="H321">
        <v>0</v>
      </c>
      <c r="I321">
        <f t="shared" si="16"/>
        <v>1</v>
      </c>
      <c r="J321">
        <f t="shared" si="17"/>
        <v>0</v>
      </c>
      <c r="K321">
        <f t="shared" si="18"/>
        <v>0</v>
      </c>
      <c r="L321">
        <f t="shared" si="19"/>
        <v>1</v>
      </c>
    </row>
    <row r="322" spans="1:12" x14ac:dyDescent="0.25">
      <c r="A322" t="s">
        <v>423</v>
      </c>
      <c r="B322" t="s">
        <v>424</v>
      </c>
      <c r="C322">
        <v>4</v>
      </c>
      <c r="D322">
        <v>12</v>
      </c>
      <c r="G322">
        <v>16</v>
      </c>
      <c r="H322">
        <v>0</v>
      </c>
      <c r="I322">
        <f t="shared" si="16"/>
        <v>1</v>
      </c>
      <c r="J322">
        <f t="shared" si="17"/>
        <v>0</v>
      </c>
      <c r="K322">
        <f t="shared" si="18"/>
        <v>0</v>
      </c>
      <c r="L322">
        <f t="shared" si="19"/>
        <v>1</v>
      </c>
    </row>
    <row r="323" spans="1:12" x14ac:dyDescent="0.25">
      <c r="A323" t="s">
        <v>425</v>
      </c>
      <c r="B323" t="s">
        <v>424</v>
      </c>
      <c r="C323">
        <v>12</v>
      </c>
      <c r="D323">
        <v>0</v>
      </c>
      <c r="G323">
        <v>12</v>
      </c>
      <c r="H323">
        <v>0</v>
      </c>
      <c r="I323">
        <f t="shared" ref="I323:I386" si="20">IF(C323&gt;0, 1, 0)</f>
        <v>1</v>
      </c>
      <c r="J323">
        <f t="shared" ref="J323:J386" si="21">IF(E323&gt;0, 1,0)</f>
        <v>0</v>
      </c>
      <c r="K323">
        <f t="shared" ref="K323:K386" si="22">IF(F323&gt;0, 1, 0)</f>
        <v>0</v>
      </c>
      <c r="L323">
        <f t="shared" ref="L323:L386" si="23">IF(D323&gt;0, 1, 0)</f>
        <v>0</v>
      </c>
    </row>
    <row r="324" spans="1:12" x14ac:dyDescent="0.25">
      <c r="A324" t="s">
        <v>426</v>
      </c>
      <c r="B324" t="s">
        <v>424</v>
      </c>
      <c r="C324">
        <v>12</v>
      </c>
      <c r="D324">
        <v>6</v>
      </c>
      <c r="G324">
        <v>18</v>
      </c>
      <c r="H324">
        <v>0</v>
      </c>
      <c r="I324">
        <f t="shared" si="20"/>
        <v>1</v>
      </c>
      <c r="J324">
        <f t="shared" si="21"/>
        <v>0</v>
      </c>
      <c r="K324">
        <f t="shared" si="22"/>
        <v>0</v>
      </c>
      <c r="L324">
        <f t="shared" si="23"/>
        <v>1</v>
      </c>
    </row>
    <row r="325" spans="1:12" x14ac:dyDescent="0.25">
      <c r="A325" t="s">
        <v>427</v>
      </c>
      <c r="B325" t="s">
        <v>91</v>
      </c>
      <c r="C325">
        <v>12</v>
      </c>
      <c r="D325">
        <v>1</v>
      </c>
      <c r="G325">
        <v>13</v>
      </c>
      <c r="H325">
        <v>0</v>
      </c>
      <c r="I325">
        <f t="shared" si="20"/>
        <v>1</v>
      </c>
      <c r="J325">
        <f t="shared" si="21"/>
        <v>0</v>
      </c>
      <c r="K325">
        <f t="shared" si="22"/>
        <v>0</v>
      </c>
      <c r="L325">
        <f t="shared" si="23"/>
        <v>1</v>
      </c>
    </row>
    <row r="326" spans="1:12" x14ac:dyDescent="0.25">
      <c r="A326" t="s">
        <v>428</v>
      </c>
      <c r="B326" t="s">
        <v>91</v>
      </c>
      <c r="C326">
        <v>16</v>
      </c>
      <c r="D326">
        <v>0</v>
      </c>
      <c r="G326">
        <v>16</v>
      </c>
      <c r="H326">
        <v>0</v>
      </c>
      <c r="I326">
        <f t="shared" si="20"/>
        <v>1</v>
      </c>
      <c r="J326">
        <f t="shared" si="21"/>
        <v>0</v>
      </c>
      <c r="K326">
        <f t="shared" si="22"/>
        <v>0</v>
      </c>
      <c r="L326">
        <f t="shared" si="23"/>
        <v>0</v>
      </c>
    </row>
    <row r="327" spans="1:12" x14ac:dyDescent="0.25">
      <c r="A327" t="s">
        <v>429</v>
      </c>
      <c r="B327" t="s">
        <v>91</v>
      </c>
      <c r="C327">
        <v>12</v>
      </c>
      <c r="D327">
        <v>12</v>
      </c>
      <c r="G327">
        <v>24</v>
      </c>
      <c r="H327">
        <v>0</v>
      </c>
      <c r="I327">
        <f t="shared" si="20"/>
        <v>1</v>
      </c>
      <c r="J327">
        <f t="shared" si="21"/>
        <v>0</v>
      </c>
      <c r="K327">
        <f t="shared" si="22"/>
        <v>0</v>
      </c>
      <c r="L327">
        <f t="shared" si="23"/>
        <v>1</v>
      </c>
    </row>
    <row r="328" spans="1:12" x14ac:dyDescent="0.25">
      <c r="A328" t="s">
        <v>430</v>
      </c>
      <c r="B328" t="s">
        <v>91</v>
      </c>
      <c r="C328">
        <v>8</v>
      </c>
      <c r="D328">
        <v>10</v>
      </c>
      <c r="G328">
        <v>18</v>
      </c>
      <c r="H328">
        <v>0</v>
      </c>
      <c r="I328">
        <f t="shared" si="20"/>
        <v>1</v>
      </c>
      <c r="J328">
        <f t="shared" si="21"/>
        <v>0</v>
      </c>
      <c r="K328">
        <f t="shared" si="22"/>
        <v>0</v>
      </c>
      <c r="L328">
        <f t="shared" si="23"/>
        <v>1</v>
      </c>
    </row>
    <row r="329" spans="1:12" x14ac:dyDescent="0.25">
      <c r="A329" t="s">
        <v>431</v>
      </c>
      <c r="B329" t="s">
        <v>11</v>
      </c>
      <c r="C329">
        <v>12</v>
      </c>
      <c r="D329">
        <v>12</v>
      </c>
      <c r="G329">
        <v>24</v>
      </c>
      <c r="H329">
        <v>0</v>
      </c>
      <c r="I329">
        <f t="shared" si="20"/>
        <v>1</v>
      </c>
      <c r="J329">
        <f t="shared" si="21"/>
        <v>0</v>
      </c>
      <c r="K329">
        <f t="shared" si="22"/>
        <v>0</v>
      </c>
      <c r="L329">
        <f t="shared" si="23"/>
        <v>1</v>
      </c>
    </row>
    <row r="330" spans="1:12" x14ac:dyDescent="0.25">
      <c r="A330" t="s">
        <v>432</v>
      </c>
      <c r="B330" t="s">
        <v>11</v>
      </c>
      <c r="C330">
        <v>12</v>
      </c>
      <c r="E330">
        <v>12</v>
      </c>
      <c r="G330">
        <v>12</v>
      </c>
      <c r="H330">
        <v>12</v>
      </c>
      <c r="I330">
        <f t="shared" si="20"/>
        <v>1</v>
      </c>
      <c r="J330">
        <f t="shared" si="21"/>
        <v>1</v>
      </c>
      <c r="K330">
        <f t="shared" si="22"/>
        <v>0</v>
      </c>
      <c r="L330">
        <f t="shared" si="23"/>
        <v>0</v>
      </c>
    </row>
    <row r="331" spans="1:12" x14ac:dyDescent="0.25">
      <c r="A331" t="s">
        <v>433</v>
      </c>
      <c r="B331" t="s">
        <v>11</v>
      </c>
      <c r="C331">
        <v>12</v>
      </c>
      <c r="D331">
        <v>10</v>
      </c>
      <c r="G331">
        <v>22</v>
      </c>
      <c r="H331">
        <v>0</v>
      </c>
      <c r="I331">
        <f t="shared" si="20"/>
        <v>1</v>
      </c>
      <c r="J331">
        <f t="shared" si="21"/>
        <v>0</v>
      </c>
      <c r="K331">
        <f t="shared" si="22"/>
        <v>0</v>
      </c>
      <c r="L331">
        <f t="shared" si="23"/>
        <v>1</v>
      </c>
    </row>
    <row r="332" spans="1:12" x14ac:dyDescent="0.25">
      <c r="A332" t="s">
        <v>434</v>
      </c>
      <c r="B332" t="s">
        <v>11</v>
      </c>
      <c r="C332">
        <v>0</v>
      </c>
      <c r="E332">
        <v>0</v>
      </c>
      <c r="G332">
        <v>0</v>
      </c>
      <c r="H332">
        <v>0</v>
      </c>
      <c r="I332">
        <f t="shared" si="20"/>
        <v>0</v>
      </c>
      <c r="J332">
        <f t="shared" si="21"/>
        <v>0</v>
      </c>
      <c r="K332">
        <f t="shared" si="22"/>
        <v>0</v>
      </c>
      <c r="L332">
        <f t="shared" si="23"/>
        <v>0</v>
      </c>
    </row>
    <row r="333" spans="1:12" x14ac:dyDescent="0.25">
      <c r="A333" t="s">
        <v>435</v>
      </c>
      <c r="B333" t="s">
        <v>11</v>
      </c>
      <c r="C333">
        <v>6</v>
      </c>
      <c r="D333">
        <v>0</v>
      </c>
      <c r="G333">
        <v>6</v>
      </c>
      <c r="H333">
        <v>0</v>
      </c>
      <c r="I333">
        <f t="shared" si="20"/>
        <v>1</v>
      </c>
      <c r="J333">
        <f t="shared" si="21"/>
        <v>0</v>
      </c>
      <c r="K333">
        <f t="shared" si="22"/>
        <v>0</v>
      </c>
      <c r="L333">
        <f t="shared" si="23"/>
        <v>0</v>
      </c>
    </row>
    <row r="334" spans="1:12" x14ac:dyDescent="0.25">
      <c r="A334" t="s">
        <v>436</v>
      </c>
      <c r="B334" t="s">
        <v>11</v>
      </c>
      <c r="C334">
        <v>24</v>
      </c>
      <c r="D334">
        <v>12</v>
      </c>
      <c r="G334">
        <v>36</v>
      </c>
      <c r="H334">
        <v>0</v>
      </c>
      <c r="I334">
        <f t="shared" si="20"/>
        <v>1</v>
      </c>
      <c r="J334">
        <f t="shared" si="21"/>
        <v>0</v>
      </c>
      <c r="K334">
        <f t="shared" si="22"/>
        <v>0</v>
      </c>
      <c r="L334">
        <f t="shared" si="23"/>
        <v>1</v>
      </c>
    </row>
    <row r="335" spans="1:12" x14ac:dyDescent="0.25">
      <c r="A335" t="s">
        <v>437</v>
      </c>
      <c r="B335" t="s">
        <v>438</v>
      </c>
      <c r="C335">
        <v>8</v>
      </c>
      <c r="D335">
        <v>0</v>
      </c>
      <c r="G335">
        <v>8</v>
      </c>
      <c r="H335">
        <v>0</v>
      </c>
      <c r="I335">
        <f t="shared" si="20"/>
        <v>1</v>
      </c>
      <c r="J335">
        <f t="shared" si="21"/>
        <v>0</v>
      </c>
      <c r="K335">
        <f t="shared" si="22"/>
        <v>0</v>
      </c>
      <c r="L335">
        <f t="shared" si="23"/>
        <v>0</v>
      </c>
    </row>
    <row r="336" spans="1:12" x14ac:dyDescent="0.25">
      <c r="A336" t="s">
        <v>439</v>
      </c>
      <c r="B336" t="s">
        <v>438</v>
      </c>
      <c r="C336">
        <v>3</v>
      </c>
      <c r="D336">
        <v>12</v>
      </c>
      <c r="G336">
        <v>15</v>
      </c>
      <c r="H336">
        <v>0</v>
      </c>
      <c r="I336">
        <f t="shared" si="20"/>
        <v>1</v>
      </c>
      <c r="J336">
        <f t="shared" si="21"/>
        <v>0</v>
      </c>
      <c r="K336">
        <f t="shared" si="22"/>
        <v>0</v>
      </c>
      <c r="L336">
        <f t="shared" si="23"/>
        <v>1</v>
      </c>
    </row>
    <row r="337" spans="1:12" x14ac:dyDescent="0.25">
      <c r="A337" t="s">
        <v>440</v>
      </c>
      <c r="B337" t="s">
        <v>96</v>
      </c>
      <c r="C337">
        <v>6</v>
      </c>
      <c r="D337">
        <v>14</v>
      </c>
      <c r="G337">
        <v>20</v>
      </c>
      <c r="H337">
        <v>0</v>
      </c>
      <c r="I337">
        <f t="shared" si="20"/>
        <v>1</v>
      </c>
      <c r="J337">
        <f t="shared" si="21"/>
        <v>0</v>
      </c>
      <c r="K337">
        <f t="shared" si="22"/>
        <v>0</v>
      </c>
      <c r="L337">
        <f t="shared" si="23"/>
        <v>1</v>
      </c>
    </row>
    <row r="338" spans="1:12" x14ac:dyDescent="0.25">
      <c r="A338" t="s">
        <v>441</v>
      </c>
      <c r="B338" t="s">
        <v>96</v>
      </c>
      <c r="C338">
        <v>24</v>
      </c>
      <c r="D338">
        <v>0</v>
      </c>
      <c r="G338">
        <v>24</v>
      </c>
      <c r="H338">
        <v>0</v>
      </c>
      <c r="I338">
        <f t="shared" si="20"/>
        <v>1</v>
      </c>
      <c r="J338">
        <f t="shared" si="21"/>
        <v>0</v>
      </c>
      <c r="K338">
        <f t="shared" si="22"/>
        <v>0</v>
      </c>
      <c r="L338">
        <f t="shared" si="23"/>
        <v>0</v>
      </c>
    </row>
    <row r="339" spans="1:12" x14ac:dyDescent="0.25">
      <c r="A339" t="s">
        <v>442</v>
      </c>
      <c r="B339" t="s">
        <v>443</v>
      </c>
      <c r="C339">
        <v>8</v>
      </c>
      <c r="D339">
        <v>4</v>
      </c>
      <c r="G339">
        <v>12</v>
      </c>
      <c r="H339">
        <v>0</v>
      </c>
      <c r="I339">
        <f t="shared" si="20"/>
        <v>1</v>
      </c>
      <c r="J339">
        <f t="shared" si="21"/>
        <v>0</v>
      </c>
      <c r="K339">
        <f t="shared" si="22"/>
        <v>0</v>
      </c>
      <c r="L339">
        <f t="shared" si="23"/>
        <v>1</v>
      </c>
    </row>
    <row r="340" spans="1:12" x14ac:dyDescent="0.25">
      <c r="A340" t="s">
        <v>444</v>
      </c>
      <c r="B340" t="s">
        <v>101</v>
      </c>
      <c r="C340">
        <v>6</v>
      </c>
      <c r="D340">
        <v>0</v>
      </c>
      <c r="G340">
        <v>6</v>
      </c>
      <c r="H340">
        <v>0</v>
      </c>
      <c r="I340">
        <f t="shared" si="20"/>
        <v>1</v>
      </c>
      <c r="J340">
        <f t="shared" si="21"/>
        <v>0</v>
      </c>
      <c r="K340">
        <f t="shared" si="22"/>
        <v>0</v>
      </c>
      <c r="L340">
        <f t="shared" si="23"/>
        <v>0</v>
      </c>
    </row>
    <row r="341" spans="1:12" x14ac:dyDescent="0.25">
      <c r="A341" t="s">
        <v>445</v>
      </c>
      <c r="B341" t="s">
        <v>101</v>
      </c>
      <c r="C341">
        <v>8</v>
      </c>
      <c r="D341">
        <v>0</v>
      </c>
      <c r="G341">
        <v>8</v>
      </c>
      <c r="H341">
        <v>0</v>
      </c>
      <c r="I341">
        <f t="shared" si="20"/>
        <v>1</v>
      </c>
      <c r="J341">
        <f t="shared" si="21"/>
        <v>0</v>
      </c>
      <c r="K341">
        <f t="shared" si="22"/>
        <v>0</v>
      </c>
      <c r="L341">
        <f t="shared" si="23"/>
        <v>0</v>
      </c>
    </row>
    <row r="342" spans="1:12" x14ac:dyDescent="0.25">
      <c r="A342" t="s">
        <v>446</v>
      </c>
      <c r="B342" t="s">
        <v>101</v>
      </c>
      <c r="C342">
        <v>4</v>
      </c>
      <c r="D342">
        <v>4</v>
      </c>
      <c r="G342">
        <v>8</v>
      </c>
      <c r="H342">
        <v>0</v>
      </c>
      <c r="I342">
        <f t="shared" si="20"/>
        <v>1</v>
      </c>
      <c r="J342">
        <f t="shared" si="21"/>
        <v>0</v>
      </c>
      <c r="K342">
        <f t="shared" si="22"/>
        <v>0</v>
      </c>
      <c r="L342">
        <f t="shared" si="23"/>
        <v>1</v>
      </c>
    </row>
    <row r="343" spans="1:12" x14ac:dyDescent="0.25">
      <c r="A343" t="s">
        <v>447</v>
      </c>
      <c r="B343" t="s">
        <v>101</v>
      </c>
      <c r="C343">
        <v>0</v>
      </c>
      <c r="D343">
        <v>12</v>
      </c>
      <c r="G343">
        <v>12</v>
      </c>
      <c r="H343">
        <v>0</v>
      </c>
      <c r="I343">
        <f t="shared" si="20"/>
        <v>0</v>
      </c>
      <c r="J343">
        <f t="shared" si="21"/>
        <v>0</v>
      </c>
      <c r="K343">
        <f t="shared" si="22"/>
        <v>0</v>
      </c>
      <c r="L343">
        <f t="shared" si="23"/>
        <v>1</v>
      </c>
    </row>
    <row r="344" spans="1:12" x14ac:dyDescent="0.25">
      <c r="A344" t="s">
        <v>448</v>
      </c>
      <c r="B344" t="s">
        <v>101</v>
      </c>
      <c r="C344">
        <v>12</v>
      </c>
      <c r="D344">
        <v>0</v>
      </c>
      <c r="G344">
        <v>12</v>
      </c>
      <c r="H344">
        <v>0</v>
      </c>
      <c r="I344">
        <f t="shared" si="20"/>
        <v>1</v>
      </c>
      <c r="J344">
        <f t="shared" si="21"/>
        <v>0</v>
      </c>
      <c r="K344">
        <f t="shared" si="22"/>
        <v>0</v>
      </c>
      <c r="L344">
        <f t="shared" si="23"/>
        <v>0</v>
      </c>
    </row>
    <row r="345" spans="1:12" x14ac:dyDescent="0.25">
      <c r="A345" t="s">
        <v>449</v>
      </c>
      <c r="B345" t="s">
        <v>450</v>
      </c>
      <c r="C345">
        <v>4</v>
      </c>
      <c r="D345">
        <v>0</v>
      </c>
      <c r="G345">
        <v>4</v>
      </c>
      <c r="H345">
        <v>0</v>
      </c>
      <c r="I345">
        <f t="shared" si="20"/>
        <v>1</v>
      </c>
      <c r="J345">
        <f t="shared" si="21"/>
        <v>0</v>
      </c>
      <c r="K345">
        <f t="shared" si="22"/>
        <v>0</v>
      </c>
      <c r="L345">
        <f t="shared" si="23"/>
        <v>0</v>
      </c>
    </row>
    <row r="346" spans="1:12" x14ac:dyDescent="0.25">
      <c r="A346" t="s">
        <v>451</v>
      </c>
      <c r="B346" t="s">
        <v>452</v>
      </c>
      <c r="C346">
        <v>2</v>
      </c>
      <c r="D346">
        <v>10</v>
      </c>
      <c r="G346">
        <v>12</v>
      </c>
      <c r="H346">
        <v>0</v>
      </c>
      <c r="I346">
        <f t="shared" si="20"/>
        <v>1</v>
      </c>
      <c r="J346">
        <f t="shared" si="21"/>
        <v>0</v>
      </c>
      <c r="K346">
        <f t="shared" si="22"/>
        <v>0</v>
      </c>
      <c r="L346">
        <f t="shared" si="23"/>
        <v>1</v>
      </c>
    </row>
    <row r="347" spans="1:12" x14ac:dyDescent="0.25">
      <c r="A347" t="s">
        <v>453</v>
      </c>
      <c r="B347" t="s">
        <v>452</v>
      </c>
      <c r="C347">
        <v>12</v>
      </c>
      <c r="D347">
        <v>12</v>
      </c>
      <c r="G347">
        <v>24</v>
      </c>
      <c r="H347">
        <v>0</v>
      </c>
      <c r="I347">
        <f t="shared" si="20"/>
        <v>1</v>
      </c>
      <c r="J347">
        <f t="shared" si="21"/>
        <v>0</v>
      </c>
      <c r="K347">
        <f t="shared" si="22"/>
        <v>0</v>
      </c>
      <c r="L347">
        <f t="shared" si="23"/>
        <v>1</v>
      </c>
    </row>
    <row r="348" spans="1:12" x14ac:dyDescent="0.25">
      <c r="A348" t="s">
        <v>454</v>
      </c>
      <c r="B348" t="s">
        <v>103</v>
      </c>
      <c r="C348">
        <v>26</v>
      </c>
      <c r="D348">
        <v>4</v>
      </c>
      <c r="G348">
        <v>30</v>
      </c>
      <c r="H348">
        <v>0</v>
      </c>
      <c r="I348">
        <f t="shared" si="20"/>
        <v>1</v>
      </c>
      <c r="J348">
        <f t="shared" si="21"/>
        <v>0</v>
      </c>
      <c r="K348">
        <f t="shared" si="22"/>
        <v>0</v>
      </c>
      <c r="L348">
        <f t="shared" si="23"/>
        <v>1</v>
      </c>
    </row>
    <row r="349" spans="1:12" x14ac:dyDescent="0.25">
      <c r="A349" t="s">
        <v>455</v>
      </c>
      <c r="B349" t="s">
        <v>103</v>
      </c>
      <c r="C349">
        <v>25</v>
      </c>
      <c r="D349">
        <v>25</v>
      </c>
      <c r="G349">
        <v>50</v>
      </c>
      <c r="H349">
        <v>0</v>
      </c>
      <c r="I349">
        <f t="shared" si="20"/>
        <v>1</v>
      </c>
      <c r="J349">
        <f t="shared" si="21"/>
        <v>0</v>
      </c>
      <c r="K349">
        <f t="shared" si="22"/>
        <v>0</v>
      </c>
      <c r="L349">
        <f t="shared" si="23"/>
        <v>1</v>
      </c>
    </row>
    <row r="350" spans="1:12" x14ac:dyDescent="0.25">
      <c r="A350" t="s">
        <v>456</v>
      </c>
      <c r="B350" t="s">
        <v>103</v>
      </c>
      <c r="C350">
        <v>6.5</v>
      </c>
      <c r="D350">
        <v>0</v>
      </c>
      <c r="G350">
        <v>6.5</v>
      </c>
      <c r="H350">
        <v>0</v>
      </c>
      <c r="I350">
        <f t="shared" si="20"/>
        <v>1</v>
      </c>
      <c r="J350">
        <f t="shared" si="21"/>
        <v>0</v>
      </c>
      <c r="K350">
        <f t="shared" si="22"/>
        <v>0</v>
      </c>
      <c r="L350">
        <f t="shared" si="23"/>
        <v>0</v>
      </c>
    </row>
    <row r="351" spans="1:12" x14ac:dyDescent="0.25">
      <c r="A351" t="s">
        <v>457</v>
      </c>
      <c r="B351" t="s">
        <v>103</v>
      </c>
      <c r="C351">
        <v>36</v>
      </c>
      <c r="D351">
        <v>12</v>
      </c>
      <c r="G351">
        <v>48</v>
      </c>
      <c r="H351">
        <v>0</v>
      </c>
      <c r="I351">
        <f t="shared" si="20"/>
        <v>1</v>
      </c>
      <c r="J351">
        <f t="shared" si="21"/>
        <v>0</v>
      </c>
      <c r="K351">
        <f t="shared" si="22"/>
        <v>0</v>
      </c>
      <c r="L351">
        <f t="shared" si="23"/>
        <v>1</v>
      </c>
    </row>
    <row r="352" spans="1:12" x14ac:dyDescent="0.25">
      <c r="A352" t="s">
        <v>458</v>
      </c>
      <c r="B352" t="s">
        <v>13</v>
      </c>
      <c r="C352">
        <v>4</v>
      </c>
      <c r="D352">
        <v>8</v>
      </c>
      <c r="G352">
        <v>12</v>
      </c>
      <c r="H352">
        <v>0</v>
      </c>
      <c r="I352">
        <f t="shared" si="20"/>
        <v>1</v>
      </c>
      <c r="J352">
        <f t="shared" si="21"/>
        <v>0</v>
      </c>
      <c r="K352">
        <f t="shared" si="22"/>
        <v>0</v>
      </c>
      <c r="L352">
        <f t="shared" si="23"/>
        <v>1</v>
      </c>
    </row>
    <row r="353" spans="1:12" x14ac:dyDescent="0.25">
      <c r="A353" t="s">
        <v>459</v>
      </c>
      <c r="B353" t="s">
        <v>13</v>
      </c>
      <c r="C353">
        <v>9</v>
      </c>
      <c r="D353">
        <v>3</v>
      </c>
      <c r="G353">
        <v>12</v>
      </c>
      <c r="H353">
        <v>0</v>
      </c>
      <c r="I353">
        <f t="shared" si="20"/>
        <v>1</v>
      </c>
      <c r="J353">
        <f t="shared" si="21"/>
        <v>0</v>
      </c>
      <c r="K353">
        <f t="shared" si="22"/>
        <v>0</v>
      </c>
      <c r="L353">
        <f t="shared" si="23"/>
        <v>1</v>
      </c>
    </row>
    <row r="354" spans="1:12" x14ac:dyDescent="0.25">
      <c r="A354" t="s">
        <v>460</v>
      </c>
      <c r="B354" t="s">
        <v>13</v>
      </c>
      <c r="C354">
        <v>13</v>
      </c>
      <c r="D354">
        <v>13</v>
      </c>
      <c r="G354">
        <v>26</v>
      </c>
      <c r="H354">
        <v>0</v>
      </c>
      <c r="I354">
        <f t="shared" si="20"/>
        <v>1</v>
      </c>
      <c r="J354">
        <f t="shared" si="21"/>
        <v>0</v>
      </c>
      <c r="K354">
        <f t="shared" si="22"/>
        <v>0</v>
      </c>
      <c r="L354">
        <f t="shared" si="23"/>
        <v>1</v>
      </c>
    </row>
    <row r="355" spans="1:12" x14ac:dyDescent="0.25">
      <c r="A355" t="s">
        <v>461</v>
      </c>
      <c r="B355" t="s">
        <v>13</v>
      </c>
      <c r="C355">
        <v>12</v>
      </c>
      <c r="D355">
        <v>0</v>
      </c>
      <c r="G355">
        <v>12</v>
      </c>
      <c r="H355">
        <v>0</v>
      </c>
      <c r="I355">
        <f t="shared" si="20"/>
        <v>1</v>
      </c>
      <c r="J355">
        <f t="shared" si="21"/>
        <v>0</v>
      </c>
      <c r="K355">
        <f t="shared" si="22"/>
        <v>0</v>
      </c>
      <c r="L355">
        <f t="shared" si="23"/>
        <v>0</v>
      </c>
    </row>
    <row r="356" spans="1:12" x14ac:dyDescent="0.25">
      <c r="A356" t="s">
        <v>462</v>
      </c>
      <c r="B356" t="s">
        <v>13</v>
      </c>
      <c r="C356">
        <v>26</v>
      </c>
      <c r="D356">
        <v>26</v>
      </c>
      <c r="G356">
        <v>52</v>
      </c>
      <c r="H356">
        <v>0</v>
      </c>
      <c r="I356">
        <f t="shared" si="20"/>
        <v>1</v>
      </c>
      <c r="J356">
        <f t="shared" si="21"/>
        <v>0</v>
      </c>
      <c r="K356">
        <f t="shared" si="22"/>
        <v>0</v>
      </c>
      <c r="L356">
        <f t="shared" si="23"/>
        <v>1</v>
      </c>
    </row>
    <row r="357" spans="1:12" x14ac:dyDescent="0.25">
      <c r="A357" t="s">
        <v>463</v>
      </c>
      <c r="B357" t="s">
        <v>13</v>
      </c>
      <c r="C357">
        <v>6</v>
      </c>
      <c r="D357">
        <v>6</v>
      </c>
      <c r="G357">
        <v>12</v>
      </c>
      <c r="H357">
        <v>0</v>
      </c>
      <c r="I357">
        <f t="shared" si="20"/>
        <v>1</v>
      </c>
      <c r="J357">
        <f t="shared" si="21"/>
        <v>0</v>
      </c>
      <c r="K357">
        <f t="shared" si="22"/>
        <v>0</v>
      </c>
      <c r="L357">
        <f t="shared" si="23"/>
        <v>1</v>
      </c>
    </row>
    <row r="358" spans="1:12" x14ac:dyDescent="0.25">
      <c r="A358" t="s">
        <v>464</v>
      </c>
      <c r="B358" t="s">
        <v>13</v>
      </c>
      <c r="C358">
        <v>8</v>
      </c>
      <c r="D358">
        <v>0</v>
      </c>
      <c r="G358">
        <v>8</v>
      </c>
      <c r="H358">
        <v>0</v>
      </c>
      <c r="I358">
        <f t="shared" si="20"/>
        <v>1</v>
      </c>
      <c r="J358">
        <f t="shared" si="21"/>
        <v>0</v>
      </c>
      <c r="K358">
        <f t="shared" si="22"/>
        <v>0</v>
      </c>
      <c r="L358">
        <f t="shared" si="23"/>
        <v>0</v>
      </c>
    </row>
    <row r="359" spans="1:12" x14ac:dyDescent="0.25">
      <c r="A359" t="s">
        <v>465</v>
      </c>
      <c r="B359" t="s">
        <v>13</v>
      </c>
      <c r="C359">
        <v>12</v>
      </c>
      <c r="D359">
        <v>0</v>
      </c>
      <c r="G359">
        <v>12</v>
      </c>
      <c r="H359">
        <v>0</v>
      </c>
      <c r="I359">
        <f t="shared" si="20"/>
        <v>1</v>
      </c>
      <c r="J359">
        <f t="shared" si="21"/>
        <v>0</v>
      </c>
      <c r="K359">
        <f t="shared" si="22"/>
        <v>0</v>
      </c>
      <c r="L359">
        <f t="shared" si="23"/>
        <v>0</v>
      </c>
    </row>
    <row r="360" spans="1:12" x14ac:dyDescent="0.25">
      <c r="A360" t="s">
        <v>466</v>
      </c>
      <c r="B360" t="s">
        <v>13</v>
      </c>
      <c r="C360">
        <v>16</v>
      </c>
      <c r="D360">
        <v>0</v>
      </c>
      <c r="G360">
        <v>16</v>
      </c>
      <c r="H360">
        <v>0</v>
      </c>
      <c r="I360">
        <f t="shared" si="20"/>
        <v>1</v>
      </c>
      <c r="J360">
        <f t="shared" si="21"/>
        <v>0</v>
      </c>
      <c r="K360">
        <f t="shared" si="22"/>
        <v>0</v>
      </c>
      <c r="L360">
        <f t="shared" si="23"/>
        <v>0</v>
      </c>
    </row>
    <row r="361" spans="1:12" x14ac:dyDescent="0.25">
      <c r="A361" t="s">
        <v>467</v>
      </c>
      <c r="B361" t="s">
        <v>13</v>
      </c>
      <c r="C361">
        <v>6</v>
      </c>
      <c r="D361">
        <v>6</v>
      </c>
      <c r="G361">
        <v>12</v>
      </c>
      <c r="H361">
        <v>0</v>
      </c>
      <c r="I361">
        <f t="shared" si="20"/>
        <v>1</v>
      </c>
      <c r="J361">
        <f t="shared" si="21"/>
        <v>0</v>
      </c>
      <c r="K361">
        <f t="shared" si="22"/>
        <v>0</v>
      </c>
      <c r="L361">
        <f t="shared" si="23"/>
        <v>1</v>
      </c>
    </row>
    <row r="362" spans="1:12" x14ac:dyDescent="0.25">
      <c r="A362" t="s">
        <v>468</v>
      </c>
      <c r="B362" t="s">
        <v>13</v>
      </c>
      <c r="C362">
        <v>12</v>
      </c>
      <c r="D362">
        <v>0</v>
      </c>
      <c r="G362">
        <v>12</v>
      </c>
      <c r="H362">
        <v>0</v>
      </c>
      <c r="I362">
        <f t="shared" si="20"/>
        <v>1</v>
      </c>
      <c r="J362">
        <f t="shared" si="21"/>
        <v>0</v>
      </c>
      <c r="K362">
        <f t="shared" si="22"/>
        <v>0</v>
      </c>
      <c r="L362">
        <f t="shared" si="23"/>
        <v>0</v>
      </c>
    </row>
    <row r="363" spans="1:12" x14ac:dyDescent="0.25">
      <c r="A363" t="s">
        <v>469</v>
      </c>
      <c r="B363" t="s">
        <v>13</v>
      </c>
      <c r="C363">
        <v>10</v>
      </c>
      <c r="D363">
        <v>0</v>
      </c>
      <c r="G363">
        <v>10</v>
      </c>
      <c r="H363">
        <v>0</v>
      </c>
      <c r="I363">
        <f t="shared" si="20"/>
        <v>1</v>
      </c>
      <c r="J363">
        <f t="shared" si="21"/>
        <v>0</v>
      </c>
      <c r="K363">
        <f t="shared" si="22"/>
        <v>0</v>
      </c>
      <c r="L363">
        <f t="shared" si="23"/>
        <v>0</v>
      </c>
    </row>
    <row r="364" spans="1:12" x14ac:dyDescent="0.25">
      <c r="A364" t="s">
        <v>470</v>
      </c>
      <c r="B364" t="s">
        <v>13</v>
      </c>
      <c r="C364">
        <v>6</v>
      </c>
      <c r="D364">
        <v>12</v>
      </c>
      <c r="G364">
        <v>18</v>
      </c>
      <c r="H364">
        <v>0</v>
      </c>
      <c r="I364">
        <f t="shared" si="20"/>
        <v>1</v>
      </c>
      <c r="J364">
        <f t="shared" si="21"/>
        <v>0</v>
      </c>
      <c r="K364">
        <f t="shared" si="22"/>
        <v>0</v>
      </c>
      <c r="L364">
        <f t="shared" si="23"/>
        <v>1</v>
      </c>
    </row>
    <row r="365" spans="1:12" x14ac:dyDescent="0.25">
      <c r="A365" t="s">
        <v>471</v>
      </c>
      <c r="B365" t="s">
        <v>13</v>
      </c>
      <c r="C365">
        <v>12</v>
      </c>
      <c r="D365">
        <v>0</v>
      </c>
      <c r="G365">
        <v>12</v>
      </c>
      <c r="H365">
        <v>0</v>
      </c>
      <c r="I365">
        <f t="shared" si="20"/>
        <v>1</v>
      </c>
      <c r="J365">
        <f t="shared" si="21"/>
        <v>0</v>
      </c>
      <c r="K365">
        <f t="shared" si="22"/>
        <v>0</v>
      </c>
      <c r="L365">
        <f t="shared" si="23"/>
        <v>0</v>
      </c>
    </row>
    <row r="366" spans="1:12" x14ac:dyDescent="0.25">
      <c r="A366" t="s">
        <v>472</v>
      </c>
      <c r="B366" t="s">
        <v>13</v>
      </c>
      <c r="C366">
        <v>12</v>
      </c>
      <c r="D366">
        <v>0</v>
      </c>
      <c r="G366">
        <v>12</v>
      </c>
      <c r="H366">
        <v>0</v>
      </c>
      <c r="I366">
        <f t="shared" si="20"/>
        <v>1</v>
      </c>
      <c r="J366">
        <f t="shared" si="21"/>
        <v>0</v>
      </c>
      <c r="K366">
        <f t="shared" si="22"/>
        <v>0</v>
      </c>
      <c r="L366">
        <f t="shared" si="23"/>
        <v>0</v>
      </c>
    </row>
    <row r="367" spans="1:12" x14ac:dyDescent="0.25">
      <c r="A367" t="s">
        <v>473</v>
      </c>
      <c r="B367" t="s">
        <v>13</v>
      </c>
      <c r="C367">
        <v>2</v>
      </c>
      <c r="D367">
        <v>10</v>
      </c>
      <c r="G367">
        <v>12</v>
      </c>
      <c r="H367">
        <v>0</v>
      </c>
      <c r="I367">
        <f t="shared" si="20"/>
        <v>1</v>
      </c>
      <c r="J367">
        <f t="shared" si="21"/>
        <v>0</v>
      </c>
      <c r="K367">
        <f t="shared" si="22"/>
        <v>0</v>
      </c>
      <c r="L367">
        <f t="shared" si="23"/>
        <v>1</v>
      </c>
    </row>
    <row r="368" spans="1:12" x14ac:dyDescent="0.25">
      <c r="A368" t="s">
        <v>474</v>
      </c>
      <c r="B368" t="s">
        <v>13</v>
      </c>
      <c r="C368">
        <v>12</v>
      </c>
      <c r="D368">
        <v>12</v>
      </c>
      <c r="G368">
        <v>24</v>
      </c>
      <c r="H368">
        <v>0</v>
      </c>
      <c r="I368">
        <f t="shared" si="20"/>
        <v>1</v>
      </c>
      <c r="J368">
        <f t="shared" si="21"/>
        <v>0</v>
      </c>
      <c r="K368">
        <f t="shared" si="22"/>
        <v>0</v>
      </c>
      <c r="L368">
        <f t="shared" si="23"/>
        <v>1</v>
      </c>
    </row>
    <row r="369" spans="1:12" x14ac:dyDescent="0.25">
      <c r="A369" t="s">
        <v>475</v>
      </c>
      <c r="B369" t="s">
        <v>13</v>
      </c>
      <c r="C369">
        <v>23</v>
      </c>
      <c r="D369">
        <v>12</v>
      </c>
      <c r="G369">
        <v>35</v>
      </c>
      <c r="H369">
        <v>0</v>
      </c>
      <c r="I369">
        <f t="shared" si="20"/>
        <v>1</v>
      </c>
      <c r="J369">
        <f t="shared" si="21"/>
        <v>0</v>
      </c>
      <c r="K369">
        <f t="shared" si="22"/>
        <v>0</v>
      </c>
      <c r="L369">
        <f t="shared" si="23"/>
        <v>1</v>
      </c>
    </row>
    <row r="370" spans="1:12" x14ac:dyDescent="0.25">
      <c r="A370" t="s">
        <v>476</v>
      </c>
      <c r="B370" t="s">
        <v>13</v>
      </c>
      <c r="C370">
        <v>13.5</v>
      </c>
      <c r="D370">
        <v>15.5</v>
      </c>
      <c r="G370">
        <v>29</v>
      </c>
      <c r="H370">
        <v>0</v>
      </c>
      <c r="I370">
        <f t="shared" si="20"/>
        <v>1</v>
      </c>
      <c r="J370">
        <f t="shared" si="21"/>
        <v>0</v>
      </c>
      <c r="K370">
        <f t="shared" si="22"/>
        <v>0</v>
      </c>
      <c r="L370">
        <f t="shared" si="23"/>
        <v>1</v>
      </c>
    </row>
    <row r="371" spans="1:12" x14ac:dyDescent="0.25">
      <c r="A371" t="s">
        <v>477</v>
      </c>
      <c r="B371" t="s">
        <v>13</v>
      </c>
      <c r="C371">
        <v>8</v>
      </c>
      <c r="D371">
        <v>12</v>
      </c>
      <c r="G371">
        <v>20</v>
      </c>
      <c r="H371">
        <v>0</v>
      </c>
      <c r="I371">
        <f t="shared" si="20"/>
        <v>1</v>
      </c>
      <c r="J371">
        <f t="shared" si="21"/>
        <v>0</v>
      </c>
      <c r="K371">
        <f t="shared" si="22"/>
        <v>0</v>
      </c>
      <c r="L371">
        <f t="shared" si="23"/>
        <v>1</v>
      </c>
    </row>
    <row r="372" spans="1:12" x14ac:dyDescent="0.25">
      <c r="A372" t="s">
        <v>478</v>
      </c>
      <c r="B372" t="s">
        <v>479</v>
      </c>
      <c r="C372">
        <v>0</v>
      </c>
      <c r="D372">
        <v>0</v>
      </c>
      <c r="G372">
        <v>0</v>
      </c>
      <c r="H372">
        <v>0</v>
      </c>
      <c r="I372">
        <f t="shared" si="20"/>
        <v>0</v>
      </c>
      <c r="J372">
        <f t="shared" si="21"/>
        <v>0</v>
      </c>
      <c r="K372">
        <f t="shared" si="22"/>
        <v>0</v>
      </c>
      <c r="L372">
        <f t="shared" si="23"/>
        <v>0</v>
      </c>
    </row>
    <row r="373" spans="1:12" x14ac:dyDescent="0.25">
      <c r="A373" t="s">
        <v>480</v>
      </c>
      <c r="B373" t="s">
        <v>479</v>
      </c>
      <c r="C373">
        <v>5</v>
      </c>
      <c r="D373">
        <v>21</v>
      </c>
      <c r="G373">
        <v>26</v>
      </c>
      <c r="H373">
        <v>0</v>
      </c>
      <c r="I373">
        <f t="shared" si="20"/>
        <v>1</v>
      </c>
      <c r="J373">
        <f t="shared" si="21"/>
        <v>0</v>
      </c>
      <c r="K373">
        <f t="shared" si="22"/>
        <v>0</v>
      </c>
      <c r="L373">
        <f t="shared" si="23"/>
        <v>1</v>
      </c>
    </row>
    <row r="374" spans="1:12" x14ac:dyDescent="0.25">
      <c r="A374" t="s">
        <v>481</v>
      </c>
      <c r="B374" t="s">
        <v>479</v>
      </c>
      <c r="C374">
        <v>6</v>
      </c>
      <c r="D374">
        <v>6</v>
      </c>
      <c r="G374">
        <v>12</v>
      </c>
      <c r="H374">
        <v>0</v>
      </c>
      <c r="I374">
        <f t="shared" si="20"/>
        <v>1</v>
      </c>
      <c r="J374">
        <f t="shared" si="21"/>
        <v>0</v>
      </c>
      <c r="K374">
        <f t="shared" si="22"/>
        <v>0</v>
      </c>
      <c r="L374">
        <f t="shared" si="23"/>
        <v>1</v>
      </c>
    </row>
    <row r="375" spans="1:12" x14ac:dyDescent="0.25">
      <c r="A375" t="s">
        <v>482</v>
      </c>
      <c r="B375" t="s">
        <v>16</v>
      </c>
      <c r="C375">
        <v>0</v>
      </c>
      <c r="E375">
        <v>0</v>
      </c>
      <c r="G375">
        <v>0</v>
      </c>
      <c r="H375">
        <v>0</v>
      </c>
      <c r="I375">
        <f t="shared" si="20"/>
        <v>0</v>
      </c>
      <c r="J375">
        <f t="shared" si="21"/>
        <v>0</v>
      </c>
      <c r="K375">
        <f t="shared" si="22"/>
        <v>0</v>
      </c>
      <c r="L375">
        <f t="shared" si="23"/>
        <v>0</v>
      </c>
    </row>
    <row r="376" spans="1:12" x14ac:dyDescent="0.25">
      <c r="A376" t="s">
        <v>483</v>
      </c>
      <c r="B376" t="s">
        <v>16</v>
      </c>
      <c r="C376">
        <v>7</v>
      </c>
      <c r="D376">
        <v>10</v>
      </c>
      <c r="G376">
        <v>17</v>
      </c>
      <c r="H376">
        <v>0</v>
      </c>
      <c r="I376">
        <f t="shared" si="20"/>
        <v>1</v>
      </c>
      <c r="J376">
        <f t="shared" si="21"/>
        <v>0</v>
      </c>
      <c r="K376">
        <f t="shared" si="22"/>
        <v>0</v>
      </c>
      <c r="L376">
        <f t="shared" si="23"/>
        <v>1</v>
      </c>
    </row>
    <row r="377" spans="1:12" x14ac:dyDescent="0.25">
      <c r="A377" t="s">
        <v>484</v>
      </c>
      <c r="B377" t="s">
        <v>16</v>
      </c>
      <c r="C377">
        <v>6</v>
      </c>
      <c r="D377">
        <v>52</v>
      </c>
      <c r="G377">
        <v>58</v>
      </c>
      <c r="H377">
        <v>0</v>
      </c>
      <c r="I377">
        <f t="shared" si="20"/>
        <v>1</v>
      </c>
      <c r="J377">
        <f t="shared" si="21"/>
        <v>0</v>
      </c>
      <c r="K377">
        <f t="shared" si="22"/>
        <v>0</v>
      </c>
      <c r="L377">
        <f t="shared" si="23"/>
        <v>1</v>
      </c>
    </row>
    <row r="378" spans="1:12" x14ac:dyDescent="0.25">
      <c r="A378" t="s">
        <v>485</v>
      </c>
      <c r="B378" t="s">
        <v>16</v>
      </c>
      <c r="C378">
        <v>12</v>
      </c>
      <c r="D378">
        <v>4</v>
      </c>
      <c r="G378">
        <v>16</v>
      </c>
      <c r="H378">
        <v>0</v>
      </c>
      <c r="I378">
        <f t="shared" si="20"/>
        <v>1</v>
      </c>
      <c r="J378">
        <f t="shared" si="21"/>
        <v>0</v>
      </c>
      <c r="K378">
        <f t="shared" si="22"/>
        <v>0</v>
      </c>
      <c r="L378">
        <f t="shared" si="23"/>
        <v>1</v>
      </c>
    </row>
    <row r="379" spans="1:12" x14ac:dyDescent="0.25">
      <c r="A379" t="s">
        <v>486</v>
      </c>
      <c r="B379" t="s">
        <v>16</v>
      </c>
      <c r="C379">
        <v>2</v>
      </c>
      <c r="D379">
        <v>2</v>
      </c>
      <c r="G379">
        <v>4</v>
      </c>
      <c r="H379">
        <v>0</v>
      </c>
      <c r="I379">
        <f t="shared" si="20"/>
        <v>1</v>
      </c>
      <c r="J379">
        <f t="shared" si="21"/>
        <v>0</v>
      </c>
      <c r="K379">
        <f t="shared" si="22"/>
        <v>0</v>
      </c>
      <c r="L379">
        <f t="shared" si="23"/>
        <v>1</v>
      </c>
    </row>
    <row r="380" spans="1:12" x14ac:dyDescent="0.25">
      <c r="A380" t="s">
        <v>487</v>
      </c>
      <c r="B380" t="s">
        <v>16</v>
      </c>
      <c r="C380">
        <v>5</v>
      </c>
      <c r="D380">
        <v>2</v>
      </c>
      <c r="G380">
        <v>7</v>
      </c>
      <c r="H380">
        <v>0</v>
      </c>
      <c r="I380">
        <f t="shared" si="20"/>
        <v>1</v>
      </c>
      <c r="J380">
        <f t="shared" si="21"/>
        <v>0</v>
      </c>
      <c r="K380">
        <f t="shared" si="22"/>
        <v>0</v>
      </c>
      <c r="L380">
        <f t="shared" si="23"/>
        <v>1</v>
      </c>
    </row>
    <row r="381" spans="1:12" x14ac:dyDescent="0.25">
      <c r="A381" t="s">
        <v>488</v>
      </c>
      <c r="B381" t="s">
        <v>16</v>
      </c>
      <c r="C381">
        <v>12</v>
      </c>
      <c r="D381">
        <v>0</v>
      </c>
      <c r="G381">
        <v>12</v>
      </c>
      <c r="H381">
        <v>0</v>
      </c>
      <c r="I381">
        <f t="shared" si="20"/>
        <v>1</v>
      </c>
      <c r="J381">
        <f t="shared" si="21"/>
        <v>0</v>
      </c>
      <c r="K381">
        <f t="shared" si="22"/>
        <v>0</v>
      </c>
      <c r="L381">
        <f t="shared" si="23"/>
        <v>0</v>
      </c>
    </row>
    <row r="382" spans="1:12" x14ac:dyDescent="0.25">
      <c r="A382" t="s">
        <v>489</v>
      </c>
      <c r="B382" t="s">
        <v>16</v>
      </c>
      <c r="C382">
        <v>4</v>
      </c>
      <c r="D382">
        <v>8</v>
      </c>
      <c r="G382">
        <v>12</v>
      </c>
      <c r="H382">
        <v>0</v>
      </c>
      <c r="I382">
        <f t="shared" si="20"/>
        <v>1</v>
      </c>
      <c r="J382">
        <f t="shared" si="21"/>
        <v>0</v>
      </c>
      <c r="K382">
        <f t="shared" si="22"/>
        <v>0</v>
      </c>
      <c r="L382">
        <f t="shared" si="23"/>
        <v>1</v>
      </c>
    </row>
    <row r="383" spans="1:12" x14ac:dyDescent="0.25">
      <c r="A383" t="s">
        <v>490</v>
      </c>
      <c r="B383" t="s">
        <v>16</v>
      </c>
      <c r="C383">
        <v>1</v>
      </c>
      <c r="D383">
        <v>0</v>
      </c>
      <c r="G383">
        <v>1</v>
      </c>
      <c r="H383">
        <v>0</v>
      </c>
      <c r="I383">
        <f t="shared" si="20"/>
        <v>1</v>
      </c>
      <c r="J383">
        <f t="shared" si="21"/>
        <v>0</v>
      </c>
      <c r="K383">
        <f t="shared" si="22"/>
        <v>0</v>
      </c>
      <c r="L383">
        <f t="shared" si="23"/>
        <v>0</v>
      </c>
    </row>
    <row r="384" spans="1:12" x14ac:dyDescent="0.25">
      <c r="A384" t="s">
        <v>491</v>
      </c>
      <c r="B384" t="s">
        <v>16</v>
      </c>
      <c r="C384">
        <v>20</v>
      </c>
      <c r="D384">
        <v>0</v>
      </c>
      <c r="G384">
        <v>20</v>
      </c>
      <c r="H384">
        <v>0</v>
      </c>
      <c r="I384">
        <f t="shared" si="20"/>
        <v>1</v>
      </c>
      <c r="J384">
        <f t="shared" si="21"/>
        <v>0</v>
      </c>
      <c r="K384">
        <f t="shared" si="22"/>
        <v>0</v>
      </c>
      <c r="L384">
        <f t="shared" si="23"/>
        <v>0</v>
      </c>
    </row>
    <row r="385" spans="1:12" x14ac:dyDescent="0.25">
      <c r="A385" t="s">
        <v>492</v>
      </c>
      <c r="B385" t="s">
        <v>16</v>
      </c>
      <c r="C385">
        <v>1</v>
      </c>
      <c r="D385">
        <v>11</v>
      </c>
      <c r="G385">
        <v>12</v>
      </c>
      <c r="H385">
        <v>0</v>
      </c>
      <c r="I385">
        <f t="shared" si="20"/>
        <v>1</v>
      </c>
      <c r="J385">
        <f t="shared" si="21"/>
        <v>0</v>
      </c>
      <c r="K385">
        <f t="shared" si="22"/>
        <v>0</v>
      </c>
      <c r="L385">
        <f t="shared" si="23"/>
        <v>1</v>
      </c>
    </row>
    <row r="386" spans="1:12" x14ac:dyDescent="0.25">
      <c r="A386" t="s">
        <v>493</v>
      </c>
      <c r="B386" t="s">
        <v>16</v>
      </c>
      <c r="C386">
        <v>6</v>
      </c>
      <c r="D386">
        <v>6</v>
      </c>
      <c r="G386">
        <v>12</v>
      </c>
      <c r="H386">
        <v>0</v>
      </c>
      <c r="I386">
        <f t="shared" si="20"/>
        <v>1</v>
      </c>
      <c r="J386">
        <f t="shared" si="21"/>
        <v>0</v>
      </c>
      <c r="K386">
        <f t="shared" si="22"/>
        <v>0</v>
      </c>
      <c r="L386">
        <f t="shared" si="23"/>
        <v>1</v>
      </c>
    </row>
    <row r="387" spans="1:12" x14ac:dyDescent="0.25">
      <c r="A387" t="s">
        <v>494</v>
      </c>
      <c r="B387" t="s">
        <v>16</v>
      </c>
      <c r="C387">
        <v>5</v>
      </c>
      <c r="D387">
        <v>0</v>
      </c>
      <c r="G387">
        <v>5</v>
      </c>
      <c r="H387">
        <v>0</v>
      </c>
      <c r="I387">
        <f t="shared" ref="I387:I450" si="24">IF(C387&gt;0, 1, 0)</f>
        <v>1</v>
      </c>
      <c r="J387">
        <f t="shared" ref="J387:J450" si="25">IF(E387&gt;0, 1,0)</f>
        <v>0</v>
      </c>
      <c r="K387">
        <f t="shared" ref="K387:K450" si="26">IF(F387&gt;0, 1, 0)</f>
        <v>0</v>
      </c>
      <c r="L387">
        <f t="shared" ref="L387:L450" si="27">IF(D387&gt;0, 1, 0)</f>
        <v>0</v>
      </c>
    </row>
    <row r="388" spans="1:12" x14ac:dyDescent="0.25">
      <c r="A388" t="s">
        <v>495</v>
      </c>
      <c r="B388" t="s">
        <v>16</v>
      </c>
      <c r="C388">
        <v>4</v>
      </c>
      <c r="D388">
        <v>0</v>
      </c>
      <c r="G388">
        <v>4</v>
      </c>
      <c r="H388">
        <v>0</v>
      </c>
      <c r="I388">
        <f t="shared" si="24"/>
        <v>1</v>
      </c>
      <c r="J388">
        <f t="shared" si="25"/>
        <v>0</v>
      </c>
      <c r="K388">
        <f t="shared" si="26"/>
        <v>0</v>
      </c>
      <c r="L388">
        <f t="shared" si="27"/>
        <v>0</v>
      </c>
    </row>
    <row r="389" spans="1:12" x14ac:dyDescent="0.25">
      <c r="A389" t="s">
        <v>496</v>
      </c>
      <c r="B389" t="s">
        <v>16</v>
      </c>
      <c r="C389">
        <v>2</v>
      </c>
      <c r="D389">
        <v>0</v>
      </c>
      <c r="G389">
        <v>2</v>
      </c>
      <c r="H389">
        <v>0</v>
      </c>
      <c r="I389">
        <f t="shared" si="24"/>
        <v>1</v>
      </c>
      <c r="J389">
        <f t="shared" si="25"/>
        <v>0</v>
      </c>
      <c r="K389">
        <f t="shared" si="26"/>
        <v>0</v>
      </c>
      <c r="L389">
        <f t="shared" si="27"/>
        <v>0</v>
      </c>
    </row>
    <row r="390" spans="1:12" x14ac:dyDescent="0.25">
      <c r="A390" t="s">
        <v>497</v>
      </c>
      <c r="B390" t="s">
        <v>16</v>
      </c>
      <c r="C390">
        <v>12</v>
      </c>
      <c r="D390">
        <v>12</v>
      </c>
      <c r="G390">
        <v>24</v>
      </c>
      <c r="H390">
        <v>0</v>
      </c>
      <c r="I390">
        <f t="shared" si="24"/>
        <v>1</v>
      </c>
      <c r="J390">
        <f t="shared" si="25"/>
        <v>0</v>
      </c>
      <c r="K390">
        <f t="shared" si="26"/>
        <v>0</v>
      </c>
      <c r="L390">
        <f t="shared" si="27"/>
        <v>1</v>
      </c>
    </row>
    <row r="391" spans="1:12" x14ac:dyDescent="0.25">
      <c r="A391" t="s">
        <v>498</v>
      </c>
      <c r="B391" t="s">
        <v>16</v>
      </c>
      <c r="C391">
        <v>39</v>
      </c>
      <c r="D391">
        <v>13</v>
      </c>
      <c r="G391">
        <v>52</v>
      </c>
      <c r="H391">
        <v>0</v>
      </c>
      <c r="I391">
        <f t="shared" si="24"/>
        <v>1</v>
      </c>
      <c r="J391">
        <f t="shared" si="25"/>
        <v>0</v>
      </c>
      <c r="K391">
        <f t="shared" si="26"/>
        <v>0</v>
      </c>
      <c r="L391">
        <f t="shared" si="27"/>
        <v>1</v>
      </c>
    </row>
    <row r="392" spans="1:12" x14ac:dyDescent="0.25">
      <c r="A392" t="s">
        <v>499</v>
      </c>
      <c r="B392" t="s">
        <v>16</v>
      </c>
      <c r="C392">
        <v>9</v>
      </c>
      <c r="D392">
        <v>4</v>
      </c>
      <c r="G392">
        <v>13</v>
      </c>
      <c r="H392">
        <v>0</v>
      </c>
      <c r="I392">
        <f t="shared" si="24"/>
        <v>1</v>
      </c>
      <c r="J392">
        <f t="shared" si="25"/>
        <v>0</v>
      </c>
      <c r="K392">
        <f t="shared" si="26"/>
        <v>0</v>
      </c>
      <c r="L392">
        <f t="shared" si="27"/>
        <v>1</v>
      </c>
    </row>
    <row r="393" spans="1:12" x14ac:dyDescent="0.25">
      <c r="A393" t="s">
        <v>500</v>
      </c>
      <c r="B393" t="s">
        <v>16</v>
      </c>
      <c r="C393">
        <v>6</v>
      </c>
      <c r="D393">
        <v>4</v>
      </c>
      <c r="G393">
        <v>10</v>
      </c>
      <c r="H393">
        <v>0</v>
      </c>
      <c r="I393">
        <f t="shared" si="24"/>
        <v>1</v>
      </c>
      <c r="J393">
        <f t="shared" si="25"/>
        <v>0</v>
      </c>
      <c r="K393">
        <f t="shared" si="26"/>
        <v>0</v>
      </c>
      <c r="L393">
        <f t="shared" si="27"/>
        <v>1</v>
      </c>
    </row>
    <row r="394" spans="1:12" x14ac:dyDescent="0.25">
      <c r="A394" t="s">
        <v>501</v>
      </c>
      <c r="B394" t="s">
        <v>16</v>
      </c>
      <c r="C394">
        <v>3</v>
      </c>
      <c r="D394">
        <v>12</v>
      </c>
      <c r="G394">
        <v>15</v>
      </c>
      <c r="H394">
        <v>0</v>
      </c>
      <c r="I394">
        <f t="shared" si="24"/>
        <v>1</v>
      </c>
      <c r="J394">
        <f t="shared" si="25"/>
        <v>0</v>
      </c>
      <c r="K394">
        <f t="shared" si="26"/>
        <v>0</v>
      </c>
      <c r="L394">
        <f t="shared" si="27"/>
        <v>1</v>
      </c>
    </row>
    <row r="395" spans="1:12" x14ac:dyDescent="0.25">
      <c r="A395" t="s">
        <v>502</v>
      </c>
      <c r="B395" t="s">
        <v>16</v>
      </c>
      <c r="C395">
        <v>12</v>
      </c>
      <c r="D395">
        <v>6</v>
      </c>
      <c r="G395">
        <v>18</v>
      </c>
      <c r="H395">
        <v>0</v>
      </c>
      <c r="I395">
        <f t="shared" si="24"/>
        <v>1</v>
      </c>
      <c r="J395">
        <f t="shared" si="25"/>
        <v>0</v>
      </c>
      <c r="K395">
        <f t="shared" si="26"/>
        <v>0</v>
      </c>
      <c r="L395">
        <f t="shared" si="27"/>
        <v>1</v>
      </c>
    </row>
    <row r="396" spans="1:12" x14ac:dyDescent="0.25">
      <c r="A396" t="s">
        <v>503</v>
      </c>
      <c r="B396" t="s">
        <v>16</v>
      </c>
      <c r="C396">
        <v>6</v>
      </c>
      <c r="D396">
        <v>0</v>
      </c>
      <c r="G396">
        <v>6</v>
      </c>
      <c r="H396">
        <v>0</v>
      </c>
      <c r="I396">
        <f t="shared" si="24"/>
        <v>1</v>
      </c>
      <c r="J396">
        <f t="shared" si="25"/>
        <v>0</v>
      </c>
      <c r="K396">
        <f t="shared" si="26"/>
        <v>0</v>
      </c>
      <c r="L396">
        <f t="shared" si="27"/>
        <v>0</v>
      </c>
    </row>
    <row r="397" spans="1:12" x14ac:dyDescent="0.25">
      <c r="A397" t="s">
        <v>504</v>
      </c>
      <c r="B397" t="s">
        <v>16</v>
      </c>
      <c r="C397">
        <v>26</v>
      </c>
      <c r="D397">
        <v>26</v>
      </c>
      <c r="G397">
        <v>52</v>
      </c>
      <c r="H397">
        <v>0</v>
      </c>
      <c r="I397">
        <f t="shared" si="24"/>
        <v>1</v>
      </c>
      <c r="J397">
        <f t="shared" si="25"/>
        <v>0</v>
      </c>
      <c r="K397">
        <f t="shared" si="26"/>
        <v>0</v>
      </c>
      <c r="L397">
        <f t="shared" si="27"/>
        <v>1</v>
      </c>
    </row>
    <row r="398" spans="1:12" x14ac:dyDescent="0.25">
      <c r="A398" t="s">
        <v>505</v>
      </c>
      <c r="B398" t="s">
        <v>108</v>
      </c>
      <c r="C398">
        <v>8</v>
      </c>
      <c r="D398">
        <v>2</v>
      </c>
      <c r="G398">
        <v>10</v>
      </c>
      <c r="H398">
        <v>0</v>
      </c>
      <c r="I398">
        <f t="shared" si="24"/>
        <v>1</v>
      </c>
      <c r="J398">
        <f t="shared" si="25"/>
        <v>0</v>
      </c>
      <c r="K398">
        <f t="shared" si="26"/>
        <v>0</v>
      </c>
      <c r="L398">
        <f t="shared" si="27"/>
        <v>1</v>
      </c>
    </row>
    <row r="399" spans="1:12" x14ac:dyDescent="0.25">
      <c r="A399" t="s">
        <v>506</v>
      </c>
      <c r="B399" t="s">
        <v>108</v>
      </c>
      <c r="C399">
        <v>10</v>
      </c>
      <c r="D399">
        <v>0</v>
      </c>
      <c r="G399">
        <v>10</v>
      </c>
      <c r="H399">
        <v>0</v>
      </c>
      <c r="I399">
        <f t="shared" si="24"/>
        <v>1</v>
      </c>
      <c r="J399">
        <f t="shared" si="25"/>
        <v>0</v>
      </c>
      <c r="K399">
        <f t="shared" si="26"/>
        <v>0</v>
      </c>
      <c r="L399">
        <f t="shared" si="27"/>
        <v>0</v>
      </c>
    </row>
    <row r="400" spans="1:12" x14ac:dyDescent="0.25">
      <c r="A400" t="s">
        <v>507</v>
      </c>
      <c r="B400" t="s">
        <v>108</v>
      </c>
      <c r="C400">
        <v>12</v>
      </c>
      <c r="D400">
        <v>0</v>
      </c>
      <c r="G400">
        <v>12</v>
      </c>
      <c r="H400">
        <v>0</v>
      </c>
      <c r="I400">
        <f t="shared" si="24"/>
        <v>1</v>
      </c>
      <c r="J400">
        <f t="shared" si="25"/>
        <v>0</v>
      </c>
      <c r="K400">
        <f t="shared" si="26"/>
        <v>0</v>
      </c>
      <c r="L400">
        <f t="shared" si="27"/>
        <v>0</v>
      </c>
    </row>
    <row r="401" spans="1:12" x14ac:dyDescent="0.25">
      <c r="A401" t="s">
        <v>508</v>
      </c>
      <c r="B401" t="s">
        <v>108</v>
      </c>
      <c r="C401">
        <v>10.5</v>
      </c>
      <c r="D401">
        <v>18</v>
      </c>
      <c r="G401">
        <v>28.5</v>
      </c>
      <c r="H401">
        <v>0</v>
      </c>
      <c r="I401">
        <f t="shared" si="24"/>
        <v>1</v>
      </c>
      <c r="J401">
        <f t="shared" si="25"/>
        <v>0</v>
      </c>
      <c r="K401">
        <f t="shared" si="26"/>
        <v>0</v>
      </c>
      <c r="L401">
        <f t="shared" si="27"/>
        <v>1</v>
      </c>
    </row>
    <row r="402" spans="1:12" x14ac:dyDescent="0.25">
      <c r="A402" t="s">
        <v>509</v>
      </c>
      <c r="B402" t="s">
        <v>108</v>
      </c>
      <c r="C402">
        <v>12</v>
      </c>
      <c r="D402">
        <v>1</v>
      </c>
      <c r="G402">
        <v>13</v>
      </c>
      <c r="H402">
        <v>0</v>
      </c>
      <c r="I402">
        <f t="shared" si="24"/>
        <v>1</v>
      </c>
      <c r="J402">
        <f t="shared" si="25"/>
        <v>0</v>
      </c>
      <c r="K402">
        <f t="shared" si="26"/>
        <v>0</v>
      </c>
      <c r="L402">
        <f t="shared" si="27"/>
        <v>1</v>
      </c>
    </row>
    <row r="403" spans="1:12" x14ac:dyDescent="0.25">
      <c r="A403" t="s">
        <v>510</v>
      </c>
      <c r="B403" t="s">
        <v>108</v>
      </c>
      <c r="C403">
        <v>4</v>
      </c>
      <c r="D403">
        <v>4</v>
      </c>
      <c r="G403">
        <v>8</v>
      </c>
      <c r="H403">
        <v>0</v>
      </c>
      <c r="I403">
        <f t="shared" si="24"/>
        <v>1</v>
      </c>
      <c r="J403">
        <f t="shared" si="25"/>
        <v>0</v>
      </c>
      <c r="K403">
        <f t="shared" si="26"/>
        <v>0</v>
      </c>
      <c r="L403">
        <f t="shared" si="27"/>
        <v>1</v>
      </c>
    </row>
    <row r="404" spans="1:12" x14ac:dyDescent="0.25">
      <c r="A404" t="s">
        <v>511</v>
      </c>
      <c r="B404" t="s">
        <v>108</v>
      </c>
      <c r="C404">
        <v>16</v>
      </c>
      <c r="D404">
        <v>12</v>
      </c>
      <c r="G404">
        <v>28</v>
      </c>
      <c r="H404">
        <v>0</v>
      </c>
      <c r="I404">
        <f t="shared" si="24"/>
        <v>1</v>
      </c>
      <c r="J404">
        <f t="shared" si="25"/>
        <v>0</v>
      </c>
      <c r="K404">
        <f t="shared" si="26"/>
        <v>0</v>
      </c>
      <c r="L404">
        <f t="shared" si="27"/>
        <v>1</v>
      </c>
    </row>
    <row r="405" spans="1:12" x14ac:dyDescent="0.25">
      <c r="A405" t="s">
        <v>512</v>
      </c>
      <c r="B405" t="s">
        <v>108</v>
      </c>
      <c r="C405">
        <v>5</v>
      </c>
      <c r="D405">
        <v>7</v>
      </c>
      <c r="G405">
        <v>12</v>
      </c>
      <c r="H405">
        <v>0</v>
      </c>
      <c r="I405">
        <f t="shared" si="24"/>
        <v>1</v>
      </c>
      <c r="J405">
        <f t="shared" si="25"/>
        <v>0</v>
      </c>
      <c r="K405">
        <f t="shared" si="26"/>
        <v>0</v>
      </c>
      <c r="L405">
        <f t="shared" si="27"/>
        <v>1</v>
      </c>
    </row>
    <row r="406" spans="1:12" x14ac:dyDescent="0.25">
      <c r="A406" t="s">
        <v>513</v>
      </c>
      <c r="B406" t="s">
        <v>108</v>
      </c>
      <c r="C406">
        <v>8</v>
      </c>
      <c r="D406">
        <v>0</v>
      </c>
      <c r="G406">
        <v>8</v>
      </c>
      <c r="H406">
        <v>0</v>
      </c>
      <c r="I406">
        <f t="shared" si="24"/>
        <v>1</v>
      </c>
      <c r="J406">
        <f t="shared" si="25"/>
        <v>0</v>
      </c>
      <c r="K406">
        <f t="shared" si="26"/>
        <v>0</v>
      </c>
      <c r="L406">
        <f t="shared" si="27"/>
        <v>0</v>
      </c>
    </row>
    <row r="407" spans="1:12" x14ac:dyDescent="0.25">
      <c r="A407" t="s">
        <v>514</v>
      </c>
      <c r="B407" t="s">
        <v>108</v>
      </c>
      <c r="C407">
        <v>14</v>
      </c>
      <c r="D407">
        <v>0</v>
      </c>
      <c r="G407">
        <v>14</v>
      </c>
      <c r="H407">
        <v>0</v>
      </c>
      <c r="I407">
        <f t="shared" si="24"/>
        <v>1</v>
      </c>
      <c r="J407">
        <f t="shared" si="25"/>
        <v>0</v>
      </c>
      <c r="K407">
        <f t="shared" si="26"/>
        <v>0</v>
      </c>
      <c r="L407">
        <f t="shared" si="27"/>
        <v>0</v>
      </c>
    </row>
    <row r="408" spans="1:12" x14ac:dyDescent="0.25">
      <c r="A408" t="s">
        <v>515</v>
      </c>
      <c r="B408" t="s">
        <v>108</v>
      </c>
      <c r="C408">
        <v>16</v>
      </c>
      <c r="D408">
        <v>8</v>
      </c>
      <c r="G408">
        <v>24</v>
      </c>
      <c r="H408">
        <v>0</v>
      </c>
      <c r="I408">
        <f t="shared" si="24"/>
        <v>1</v>
      </c>
      <c r="J408">
        <f t="shared" si="25"/>
        <v>0</v>
      </c>
      <c r="K408">
        <f t="shared" si="26"/>
        <v>0</v>
      </c>
      <c r="L408">
        <f t="shared" si="27"/>
        <v>1</v>
      </c>
    </row>
    <row r="409" spans="1:12" x14ac:dyDescent="0.25">
      <c r="A409" t="s">
        <v>516</v>
      </c>
      <c r="B409" t="s">
        <v>108</v>
      </c>
      <c r="C409">
        <v>12</v>
      </c>
      <c r="D409">
        <v>0</v>
      </c>
      <c r="G409">
        <v>12</v>
      </c>
      <c r="H409">
        <v>0</v>
      </c>
      <c r="I409">
        <f t="shared" si="24"/>
        <v>1</v>
      </c>
      <c r="J409">
        <f t="shared" si="25"/>
        <v>0</v>
      </c>
      <c r="K409">
        <f t="shared" si="26"/>
        <v>0</v>
      </c>
      <c r="L409">
        <f t="shared" si="27"/>
        <v>0</v>
      </c>
    </row>
    <row r="410" spans="1:12" x14ac:dyDescent="0.25">
      <c r="A410" t="s">
        <v>517</v>
      </c>
      <c r="B410" t="s">
        <v>108</v>
      </c>
      <c r="C410">
        <v>12</v>
      </c>
      <c r="D410">
        <v>0</v>
      </c>
      <c r="G410">
        <v>12</v>
      </c>
      <c r="H410">
        <v>0</v>
      </c>
      <c r="I410">
        <f t="shared" si="24"/>
        <v>1</v>
      </c>
      <c r="J410">
        <f t="shared" si="25"/>
        <v>0</v>
      </c>
      <c r="K410">
        <f t="shared" si="26"/>
        <v>0</v>
      </c>
      <c r="L410">
        <f t="shared" si="27"/>
        <v>0</v>
      </c>
    </row>
    <row r="411" spans="1:12" x14ac:dyDescent="0.25">
      <c r="A411" t="s">
        <v>518</v>
      </c>
      <c r="B411" t="s">
        <v>519</v>
      </c>
      <c r="C411">
        <v>13</v>
      </c>
      <c r="D411">
        <v>0</v>
      </c>
      <c r="G411">
        <v>13</v>
      </c>
      <c r="H411">
        <v>0</v>
      </c>
      <c r="I411">
        <f t="shared" si="24"/>
        <v>1</v>
      </c>
      <c r="J411">
        <f t="shared" si="25"/>
        <v>0</v>
      </c>
      <c r="K411">
        <f t="shared" si="26"/>
        <v>0</v>
      </c>
      <c r="L411">
        <f t="shared" si="27"/>
        <v>0</v>
      </c>
    </row>
    <row r="412" spans="1:12" x14ac:dyDescent="0.25">
      <c r="A412" t="s">
        <v>520</v>
      </c>
      <c r="B412" t="s">
        <v>521</v>
      </c>
      <c r="C412">
        <v>12</v>
      </c>
      <c r="E412">
        <v>6</v>
      </c>
      <c r="G412">
        <v>12</v>
      </c>
      <c r="H412">
        <v>6</v>
      </c>
      <c r="I412">
        <f t="shared" si="24"/>
        <v>1</v>
      </c>
      <c r="J412">
        <f t="shared" si="25"/>
        <v>1</v>
      </c>
      <c r="K412">
        <f t="shared" si="26"/>
        <v>0</v>
      </c>
      <c r="L412">
        <f t="shared" si="27"/>
        <v>0</v>
      </c>
    </row>
    <row r="413" spans="1:12" x14ac:dyDescent="0.25">
      <c r="A413" t="s">
        <v>522</v>
      </c>
      <c r="B413" t="s">
        <v>111</v>
      </c>
      <c r="C413">
        <v>12</v>
      </c>
      <c r="D413">
        <v>0</v>
      </c>
      <c r="G413">
        <v>12</v>
      </c>
      <c r="H413">
        <v>0</v>
      </c>
      <c r="I413">
        <f t="shared" si="24"/>
        <v>1</v>
      </c>
      <c r="J413">
        <f t="shared" si="25"/>
        <v>0</v>
      </c>
      <c r="K413">
        <f t="shared" si="26"/>
        <v>0</v>
      </c>
      <c r="L413">
        <f t="shared" si="27"/>
        <v>0</v>
      </c>
    </row>
    <row r="414" spans="1:12" x14ac:dyDescent="0.25">
      <c r="A414" t="s">
        <v>523</v>
      </c>
      <c r="B414" t="s">
        <v>111</v>
      </c>
      <c r="C414">
        <v>2</v>
      </c>
      <c r="D414">
        <v>12</v>
      </c>
      <c r="G414">
        <v>14</v>
      </c>
      <c r="H414">
        <v>0</v>
      </c>
      <c r="I414">
        <f t="shared" si="24"/>
        <v>1</v>
      </c>
      <c r="J414">
        <f t="shared" si="25"/>
        <v>0</v>
      </c>
      <c r="K414">
        <f t="shared" si="26"/>
        <v>0</v>
      </c>
      <c r="L414">
        <f t="shared" si="27"/>
        <v>1</v>
      </c>
    </row>
    <row r="415" spans="1:12" x14ac:dyDescent="0.25">
      <c r="A415" t="s">
        <v>524</v>
      </c>
      <c r="B415" t="s">
        <v>111</v>
      </c>
      <c r="C415">
        <v>6</v>
      </c>
      <c r="D415">
        <v>6</v>
      </c>
      <c r="G415">
        <v>12</v>
      </c>
      <c r="H415">
        <v>0</v>
      </c>
      <c r="I415">
        <f t="shared" si="24"/>
        <v>1</v>
      </c>
      <c r="J415">
        <f t="shared" si="25"/>
        <v>0</v>
      </c>
      <c r="K415">
        <f t="shared" si="26"/>
        <v>0</v>
      </c>
      <c r="L415">
        <f t="shared" si="27"/>
        <v>1</v>
      </c>
    </row>
    <row r="416" spans="1:12" x14ac:dyDescent="0.25">
      <c r="A416" t="s">
        <v>525</v>
      </c>
      <c r="B416" t="s">
        <v>111</v>
      </c>
      <c r="C416">
        <v>12</v>
      </c>
      <c r="D416">
        <v>3</v>
      </c>
      <c r="G416">
        <v>15</v>
      </c>
      <c r="H416">
        <v>0</v>
      </c>
      <c r="I416">
        <f t="shared" si="24"/>
        <v>1</v>
      </c>
      <c r="J416">
        <f t="shared" si="25"/>
        <v>0</v>
      </c>
      <c r="K416">
        <f t="shared" si="26"/>
        <v>0</v>
      </c>
      <c r="L416">
        <f t="shared" si="27"/>
        <v>1</v>
      </c>
    </row>
    <row r="417" spans="1:12" x14ac:dyDescent="0.25">
      <c r="A417" t="s">
        <v>526</v>
      </c>
      <c r="B417" t="s">
        <v>111</v>
      </c>
      <c r="C417">
        <v>52</v>
      </c>
      <c r="D417">
        <v>24</v>
      </c>
      <c r="G417">
        <v>76</v>
      </c>
      <c r="H417">
        <v>0</v>
      </c>
      <c r="I417">
        <f t="shared" si="24"/>
        <v>1</v>
      </c>
      <c r="J417">
        <f t="shared" si="25"/>
        <v>0</v>
      </c>
      <c r="K417">
        <f t="shared" si="26"/>
        <v>0</v>
      </c>
      <c r="L417">
        <f t="shared" si="27"/>
        <v>1</v>
      </c>
    </row>
    <row r="418" spans="1:12" x14ac:dyDescent="0.25">
      <c r="A418" t="s">
        <v>527</v>
      </c>
      <c r="B418" t="s">
        <v>111</v>
      </c>
      <c r="C418">
        <v>9.5</v>
      </c>
      <c r="D418">
        <v>0</v>
      </c>
      <c r="G418">
        <v>9.5</v>
      </c>
      <c r="H418">
        <v>0</v>
      </c>
      <c r="I418">
        <f t="shared" si="24"/>
        <v>1</v>
      </c>
      <c r="J418">
        <f t="shared" si="25"/>
        <v>0</v>
      </c>
      <c r="K418">
        <f t="shared" si="26"/>
        <v>0</v>
      </c>
      <c r="L418">
        <f t="shared" si="27"/>
        <v>0</v>
      </c>
    </row>
    <row r="419" spans="1:12" x14ac:dyDescent="0.25">
      <c r="A419" t="s">
        <v>528</v>
      </c>
      <c r="B419" t="s">
        <v>111</v>
      </c>
      <c r="C419">
        <v>2</v>
      </c>
      <c r="D419">
        <v>0</v>
      </c>
      <c r="G419">
        <v>2</v>
      </c>
      <c r="H419">
        <v>0</v>
      </c>
      <c r="I419">
        <f t="shared" si="24"/>
        <v>1</v>
      </c>
      <c r="J419">
        <f t="shared" si="25"/>
        <v>0</v>
      </c>
      <c r="K419">
        <f t="shared" si="26"/>
        <v>0</v>
      </c>
      <c r="L419">
        <f t="shared" si="27"/>
        <v>0</v>
      </c>
    </row>
    <row r="420" spans="1:12" x14ac:dyDescent="0.25">
      <c r="A420" t="s">
        <v>529</v>
      </c>
      <c r="B420" t="s">
        <v>18</v>
      </c>
      <c r="C420">
        <v>16</v>
      </c>
      <c r="D420">
        <v>2</v>
      </c>
      <c r="G420">
        <v>18</v>
      </c>
      <c r="H420">
        <v>0</v>
      </c>
      <c r="I420">
        <f t="shared" si="24"/>
        <v>1</v>
      </c>
      <c r="J420">
        <f t="shared" si="25"/>
        <v>0</v>
      </c>
      <c r="K420">
        <f t="shared" si="26"/>
        <v>0</v>
      </c>
      <c r="L420">
        <f t="shared" si="27"/>
        <v>1</v>
      </c>
    </row>
    <row r="421" spans="1:12" x14ac:dyDescent="0.25">
      <c r="A421" t="s">
        <v>530</v>
      </c>
      <c r="B421" t="s">
        <v>18</v>
      </c>
      <c r="C421">
        <v>12</v>
      </c>
      <c r="D421">
        <v>0</v>
      </c>
      <c r="G421">
        <v>12</v>
      </c>
      <c r="H421">
        <v>0</v>
      </c>
      <c r="I421">
        <f t="shared" si="24"/>
        <v>1</v>
      </c>
      <c r="J421">
        <f t="shared" si="25"/>
        <v>0</v>
      </c>
      <c r="K421">
        <f t="shared" si="26"/>
        <v>0</v>
      </c>
      <c r="L421">
        <f t="shared" si="27"/>
        <v>0</v>
      </c>
    </row>
    <row r="422" spans="1:12" x14ac:dyDescent="0.25">
      <c r="A422" t="s">
        <v>531</v>
      </c>
      <c r="B422" t="s">
        <v>18</v>
      </c>
      <c r="C422">
        <v>6</v>
      </c>
      <c r="D422">
        <v>13</v>
      </c>
      <c r="G422">
        <v>19</v>
      </c>
      <c r="H422">
        <v>0</v>
      </c>
      <c r="I422">
        <f t="shared" si="24"/>
        <v>1</v>
      </c>
      <c r="J422">
        <f t="shared" si="25"/>
        <v>0</v>
      </c>
      <c r="K422">
        <f t="shared" si="26"/>
        <v>0</v>
      </c>
      <c r="L422">
        <f t="shared" si="27"/>
        <v>1</v>
      </c>
    </row>
    <row r="423" spans="1:12" x14ac:dyDescent="0.25">
      <c r="A423" t="s">
        <v>532</v>
      </c>
      <c r="B423" t="s">
        <v>18</v>
      </c>
      <c r="C423">
        <v>10</v>
      </c>
      <c r="D423">
        <v>29</v>
      </c>
      <c r="G423">
        <v>39</v>
      </c>
      <c r="H423">
        <v>0</v>
      </c>
      <c r="I423">
        <f t="shared" si="24"/>
        <v>1</v>
      </c>
      <c r="J423">
        <f t="shared" si="25"/>
        <v>0</v>
      </c>
      <c r="K423">
        <f t="shared" si="26"/>
        <v>0</v>
      </c>
      <c r="L423">
        <f t="shared" si="27"/>
        <v>1</v>
      </c>
    </row>
    <row r="424" spans="1:12" x14ac:dyDescent="0.25">
      <c r="A424" t="s">
        <v>533</v>
      </c>
      <c r="B424" t="s">
        <v>18</v>
      </c>
      <c r="C424">
        <v>4</v>
      </c>
      <c r="D424">
        <v>0</v>
      </c>
      <c r="G424">
        <v>4</v>
      </c>
      <c r="H424">
        <v>0</v>
      </c>
      <c r="I424">
        <f t="shared" si="24"/>
        <v>1</v>
      </c>
      <c r="J424">
        <f t="shared" si="25"/>
        <v>0</v>
      </c>
      <c r="K424">
        <f t="shared" si="26"/>
        <v>0</v>
      </c>
      <c r="L424">
        <f t="shared" si="27"/>
        <v>0</v>
      </c>
    </row>
    <row r="425" spans="1:12" x14ac:dyDescent="0.25">
      <c r="A425" t="s">
        <v>534</v>
      </c>
      <c r="B425" t="s">
        <v>18</v>
      </c>
      <c r="C425">
        <v>5</v>
      </c>
      <c r="D425">
        <v>2</v>
      </c>
      <c r="G425">
        <v>7</v>
      </c>
      <c r="H425">
        <v>0</v>
      </c>
      <c r="I425">
        <f t="shared" si="24"/>
        <v>1</v>
      </c>
      <c r="J425">
        <f t="shared" si="25"/>
        <v>0</v>
      </c>
      <c r="K425">
        <f t="shared" si="26"/>
        <v>0</v>
      </c>
      <c r="L425">
        <f t="shared" si="27"/>
        <v>1</v>
      </c>
    </row>
    <row r="426" spans="1:12" x14ac:dyDescent="0.25">
      <c r="A426" t="s">
        <v>535</v>
      </c>
      <c r="B426" t="s">
        <v>18</v>
      </c>
      <c r="C426">
        <v>18</v>
      </c>
      <c r="D426">
        <v>52</v>
      </c>
      <c r="G426">
        <v>70</v>
      </c>
      <c r="H426">
        <v>0</v>
      </c>
      <c r="I426">
        <f t="shared" si="24"/>
        <v>1</v>
      </c>
      <c r="J426">
        <f t="shared" si="25"/>
        <v>0</v>
      </c>
      <c r="K426">
        <f t="shared" si="26"/>
        <v>0</v>
      </c>
      <c r="L426">
        <f t="shared" si="27"/>
        <v>1</v>
      </c>
    </row>
    <row r="427" spans="1:12" x14ac:dyDescent="0.25">
      <c r="A427" t="s">
        <v>536</v>
      </c>
      <c r="B427" t="s">
        <v>18</v>
      </c>
      <c r="C427">
        <v>14</v>
      </c>
      <c r="D427">
        <v>4</v>
      </c>
      <c r="G427">
        <v>18</v>
      </c>
      <c r="H427">
        <v>0</v>
      </c>
      <c r="I427">
        <f t="shared" si="24"/>
        <v>1</v>
      </c>
      <c r="J427">
        <f t="shared" si="25"/>
        <v>0</v>
      </c>
      <c r="K427">
        <f t="shared" si="26"/>
        <v>0</v>
      </c>
      <c r="L427">
        <f t="shared" si="27"/>
        <v>1</v>
      </c>
    </row>
    <row r="428" spans="1:12" x14ac:dyDescent="0.25">
      <c r="A428" t="s">
        <v>537</v>
      </c>
      <c r="B428" t="s">
        <v>18</v>
      </c>
      <c r="C428">
        <v>6</v>
      </c>
      <c r="D428">
        <v>0</v>
      </c>
      <c r="G428">
        <v>6</v>
      </c>
      <c r="H428">
        <v>0</v>
      </c>
      <c r="I428">
        <f t="shared" si="24"/>
        <v>1</v>
      </c>
      <c r="J428">
        <f t="shared" si="25"/>
        <v>0</v>
      </c>
      <c r="K428">
        <f t="shared" si="26"/>
        <v>0</v>
      </c>
      <c r="L428">
        <f t="shared" si="27"/>
        <v>0</v>
      </c>
    </row>
    <row r="429" spans="1:12" x14ac:dyDescent="0.25">
      <c r="A429" t="s">
        <v>538</v>
      </c>
      <c r="B429" t="s">
        <v>18</v>
      </c>
      <c r="C429">
        <v>26</v>
      </c>
      <c r="D429">
        <v>26</v>
      </c>
      <c r="G429">
        <v>52</v>
      </c>
      <c r="H429">
        <v>0</v>
      </c>
      <c r="I429">
        <f t="shared" si="24"/>
        <v>1</v>
      </c>
      <c r="J429">
        <f t="shared" si="25"/>
        <v>0</v>
      </c>
      <c r="K429">
        <f t="shared" si="26"/>
        <v>0</v>
      </c>
      <c r="L429">
        <f t="shared" si="27"/>
        <v>1</v>
      </c>
    </row>
    <row r="430" spans="1:12" x14ac:dyDescent="0.25">
      <c r="A430" t="s">
        <v>539</v>
      </c>
      <c r="B430" t="s">
        <v>18</v>
      </c>
      <c r="C430">
        <v>5</v>
      </c>
      <c r="D430">
        <v>0</v>
      </c>
      <c r="G430">
        <v>5</v>
      </c>
      <c r="H430">
        <v>0</v>
      </c>
      <c r="I430">
        <f t="shared" si="24"/>
        <v>1</v>
      </c>
      <c r="J430">
        <f t="shared" si="25"/>
        <v>0</v>
      </c>
      <c r="K430">
        <f t="shared" si="26"/>
        <v>0</v>
      </c>
      <c r="L430">
        <f t="shared" si="27"/>
        <v>0</v>
      </c>
    </row>
    <row r="431" spans="1:12" x14ac:dyDescent="0.25">
      <c r="A431" t="s">
        <v>540</v>
      </c>
      <c r="B431" t="s">
        <v>18</v>
      </c>
      <c r="C431">
        <v>16</v>
      </c>
      <c r="D431">
        <v>12</v>
      </c>
      <c r="G431">
        <v>28</v>
      </c>
      <c r="H431">
        <v>0</v>
      </c>
      <c r="I431">
        <f t="shared" si="24"/>
        <v>1</v>
      </c>
      <c r="J431">
        <f t="shared" si="25"/>
        <v>0</v>
      </c>
      <c r="K431">
        <f t="shared" si="26"/>
        <v>0</v>
      </c>
      <c r="L431">
        <f t="shared" si="27"/>
        <v>1</v>
      </c>
    </row>
    <row r="432" spans="1:12" x14ac:dyDescent="0.25">
      <c r="A432" t="s">
        <v>541</v>
      </c>
      <c r="B432" t="s">
        <v>18</v>
      </c>
      <c r="C432">
        <v>6</v>
      </c>
      <c r="D432">
        <v>12</v>
      </c>
      <c r="G432">
        <v>18</v>
      </c>
      <c r="H432">
        <v>0</v>
      </c>
      <c r="I432">
        <f t="shared" si="24"/>
        <v>1</v>
      </c>
      <c r="J432">
        <f t="shared" si="25"/>
        <v>0</v>
      </c>
      <c r="K432">
        <f t="shared" si="26"/>
        <v>0</v>
      </c>
      <c r="L432">
        <f t="shared" si="27"/>
        <v>1</v>
      </c>
    </row>
    <row r="433" spans="1:12" x14ac:dyDescent="0.25">
      <c r="A433" t="s">
        <v>542</v>
      </c>
      <c r="B433" t="s">
        <v>18</v>
      </c>
      <c r="C433">
        <v>9</v>
      </c>
      <c r="D433">
        <v>17</v>
      </c>
      <c r="G433">
        <v>26</v>
      </c>
      <c r="H433">
        <v>0</v>
      </c>
      <c r="I433">
        <f t="shared" si="24"/>
        <v>1</v>
      </c>
      <c r="J433">
        <f t="shared" si="25"/>
        <v>0</v>
      </c>
      <c r="K433">
        <f t="shared" si="26"/>
        <v>0</v>
      </c>
      <c r="L433">
        <f t="shared" si="27"/>
        <v>1</v>
      </c>
    </row>
    <row r="434" spans="1:12" x14ac:dyDescent="0.25">
      <c r="A434" t="s">
        <v>543</v>
      </c>
      <c r="B434" t="s">
        <v>18</v>
      </c>
      <c r="C434">
        <v>16</v>
      </c>
      <c r="D434">
        <v>12</v>
      </c>
      <c r="G434">
        <v>28</v>
      </c>
      <c r="H434">
        <v>0</v>
      </c>
      <c r="I434">
        <f t="shared" si="24"/>
        <v>1</v>
      </c>
      <c r="J434">
        <f t="shared" si="25"/>
        <v>0</v>
      </c>
      <c r="K434">
        <f t="shared" si="26"/>
        <v>0</v>
      </c>
      <c r="L434">
        <f t="shared" si="27"/>
        <v>1</v>
      </c>
    </row>
    <row r="435" spans="1:12" x14ac:dyDescent="0.25">
      <c r="A435" t="s">
        <v>544</v>
      </c>
      <c r="B435" t="s">
        <v>18</v>
      </c>
      <c r="C435">
        <v>12</v>
      </c>
      <c r="D435">
        <v>0</v>
      </c>
      <c r="G435">
        <v>12</v>
      </c>
      <c r="H435">
        <v>0</v>
      </c>
      <c r="I435">
        <f t="shared" si="24"/>
        <v>1</v>
      </c>
      <c r="J435">
        <f t="shared" si="25"/>
        <v>0</v>
      </c>
      <c r="K435">
        <f t="shared" si="26"/>
        <v>0</v>
      </c>
      <c r="L435">
        <f t="shared" si="27"/>
        <v>0</v>
      </c>
    </row>
    <row r="436" spans="1:12" x14ac:dyDescent="0.25">
      <c r="A436" t="s">
        <v>545</v>
      </c>
      <c r="B436" t="s">
        <v>18</v>
      </c>
      <c r="C436">
        <v>8</v>
      </c>
      <c r="D436">
        <v>6</v>
      </c>
      <c r="G436">
        <v>14</v>
      </c>
      <c r="H436">
        <v>0</v>
      </c>
      <c r="I436">
        <f t="shared" si="24"/>
        <v>1</v>
      </c>
      <c r="J436">
        <f t="shared" si="25"/>
        <v>0</v>
      </c>
      <c r="K436">
        <f t="shared" si="26"/>
        <v>0</v>
      </c>
      <c r="L436">
        <f t="shared" si="27"/>
        <v>1</v>
      </c>
    </row>
    <row r="437" spans="1:12" x14ac:dyDescent="0.25">
      <c r="A437" t="s">
        <v>546</v>
      </c>
      <c r="B437" t="s">
        <v>18</v>
      </c>
      <c r="C437">
        <v>24</v>
      </c>
      <c r="D437">
        <v>18</v>
      </c>
      <c r="G437">
        <v>42</v>
      </c>
      <c r="H437">
        <v>0</v>
      </c>
      <c r="I437">
        <f t="shared" si="24"/>
        <v>1</v>
      </c>
      <c r="J437">
        <f t="shared" si="25"/>
        <v>0</v>
      </c>
      <c r="K437">
        <f t="shared" si="26"/>
        <v>0</v>
      </c>
      <c r="L437">
        <f t="shared" si="27"/>
        <v>1</v>
      </c>
    </row>
    <row r="438" spans="1:12" x14ac:dyDescent="0.25">
      <c r="A438" t="s">
        <v>547</v>
      </c>
      <c r="B438" t="s">
        <v>18</v>
      </c>
      <c r="C438">
        <v>8</v>
      </c>
      <c r="D438">
        <v>12</v>
      </c>
      <c r="G438">
        <v>20</v>
      </c>
      <c r="H438">
        <v>0</v>
      </c>
      <c r="I438">
        <f t="shared" si="24"/>
        <v>1</v>
      </c>
      <c r="J438">
        <f t="shared" si="25"/>
        <v>0</v>
      </c>
      <c r="K438">
        <f t="shared" si="26"/>
        <v>0</v>
      </c>
      <c r="L438">
        <f t="shared" si="27"/>
        <v>1</v>
      </c>
    </row>
    <row r="439" spans="1:12" x14ac:dyDescent="0.25">
      <c r="A439" t="s">
        <v>548</v>
      </c>
      <c r="B439" t="s">
        <v>18</v>
      </c>
      <c r="C439">
        <v>16</v>
      </c>
      <c r="D439">
        <v>10</v>
      </c>
      <c r="G439">
        <v>26</v>
      </c>
      <c r="H439">
        <v>0</v>
      </c>
      <c r="I439">
        <f t="shared" si="24"/>
        <v>1</v>
      </c>
      <c r="J439">
        <f t="shared" si="25"/>
        <v>0</v>
      </c>
      <c r="K439">
        <f t="shared" si="26"/>
        <v>0</v>
      </c>
      <c r="L439">
        <f t="shared" si="27"/>
        <v>1</v>
      </c>
    </row>
    <row r="440" spans="1:12" x14ac:dyDescent="0.25">
      <c r="A440" t="s">
        <v>549</v>
      </c>
      <c r="B440" t="s">
        <v>18</v>
      </c>
      <c r="C440">
        <v>8</v>
      </c>
      <c r="D440">
        <v>0</v>
      </c>
      <c r="G440">
        <v>8</v>
      </c>
      <c r="H440">
        <v>0</v>
      </c>
      <c r="I440">
        <f t="shared" si="24"/>
        <v>1</v>
      </c>
      <c r="J440">
        <f t="shared" si="25"/>
        <v>0</v>
      </c>
      <c r="K440">
        <f t="shared" si="26"/>
        <v>0</v>
      </c>
      <c r="L440">
        <f t="shared" si="27"/>
        <v>0</v>
      </c>
    </row>
    <row r="441" spans="1:12" x14ac:dyDescent="0.25">
      <c r="A441" t="s">
        <v>550</v>
      </c>
      <c r="B441" t="s">
        <v>18</v>
      </c>
      <c r="C441">
        <v>52</v>
      </c>
      <c r="D441">
        <v>0</v>
      </c>
      <c r="G441">
        <v>52</v>
      </c>
      <c r="H441">
        <v>0</v>
      </c>
      <c r="I441">
        <f t="shared" si="24"/>
        <v>1</v>
      </c>
      <c r="J441">
        <f t="shared" si="25"/>
        <v>0</v>
      </c>
      <c r="K441">
        <f t="shared" si="26"/>
        <v>0</v>
      </c>
      <c r="L441">
        <f t="shared" si="27"/>
        <v>0</v>
      </c>
    </row>
    <row r="442" spans="1:12" x14ac:dyDescent="0.25">
      <c r="A442" t="s">
        <v>551</v>
      </c>
      <c r="B442" t="s">
        <v>18</v>
      </c>
      <c r="C442">
        <v>6</v>
      </c>
      <c r="D442">
        <v>6</v>
      </c>
      <c r="G442">
        <v>12</v>
      </c>
      <c r="H442">
        <v>0</v>
      </c>
      <c r="I442">
        <f t="shared" si="24"/>
        <v>1</v>
      </c>
      <c r="J442">
        <f t="shared" si="25"/>
        <v>0</v>
      </c>
      <c r="K442">
        <f t="shared" si="26"/>
        <v>0</v>
      </c>
      <c r="L442">
        <f t="shared" si="27"/>
        <v>1</v>
      </c>
    </row>
    <row r="443" spans="1:12" x14ac:dyDescent="0.25">
      <c r="A443" t="s">
        <v>552</v>
      </c>
      <c r="B443" t="s">
        <v>18</v>
      </c>
      <c r="C443">
        <v>6</v>
      </c>
      <c r="D443">
        <v>0</v>
      </c>
      <c r="G443">
        <v>6</v>
      </c>
      <c r="H443">
        <v>0</v>
      </c>
      <c r="I443">
        <f t="shared" si="24"/>
        <v>1</v>
      </c>
      <c r="J443">
        <f t="shared" si="25"/>
        <v>0</v>
      </c>
      <c r="K443">
        <f t="shared" si="26"/>
        <v>0</v>
      </c>
      <c r="L443">
        <f t="shared" si="27"/>
        <v>0</v>
      </c>
    </row>
    <row r="444" spans="1:12" x14ac:dyDescent="0.25">
      <c r="A444" t="s">
        <v>553</v>
      </c>
      <c r="B444" t="s">
        <v>18</v>
      </c>
      <c r="C444">
        <v>6</v>
      </c>
      <c r="D444">
        <v>12</v>
      </c>
      <c r="G444">
        <v>18</v>
      </c>
      <c r="H444">
        <v>0</v>
      </c>
      <c r="I444">
        <f t="shared" si="24"/>
        <v>1</v>
      </c>
      <c r="J444">
        <f t="shared" si="25"/>
        <v>0</v>
      </c>
      <c r="K444">
        <f t="shared" si="26"/>
        <v>0</v>
      </c>
      <c r="L444">
        <f t="shared" si="27"/>
        <v>1</v>
      </c>
    </row>
    <row r="445" spans="1:12" x14ac:dyDescent="0.25">
      <c r="A445" t="s">
        <v>554</v>
      </c>
      <c r="B445" t="s">
        <v>18</v>
      </c>
      <c r="C445">
        <v>6</v>
      </c>
      <c r="D445">
        <v>12</v>
      </c>
      <c r="G445">
        <v>18</v>
      </c>
      <c r="H445">
        <v>0</v>
      </c>
      <c r="I445">
        <f t="shared" si="24"/>
        <v>1</v>
      </c>
      <c r="J445">
        <f t="shared" si="25"/>
        <v>0</v>
      </c>
      <c r="K445">
        <f t="shared" si="26"/>
        <v>0</v>
      </c>
      <c r="L445">
        <f t="shared" si="27"/>
        <v>1</v>
      </c>
    </row>
    <row r="446" spans="1:12" x14ac:dyDescent="0.25">
      <c r="A446" t="s">
        <v>555</v>
      </c>
      <c r="B446" t="s">
        <v>18</v>
      </c>
      <c r="C446">
        <v>26</v>
      </c>
      <c r="D446">
        <v>26</v>
      </c>
      <c r="G446">
        <v>52</v>
      </c>
      <c r="H446">
        <v>0</v>
      </c>
      <c r="I446">
        <f t="shared" si="24"/>
        <v>1</v>
      </c>
      <c r="J446">
        <f t="shared" si="25"/>
        <v>0</v>
      </c>
      <c r="K446">
        <f t="shared" si="26"/>
        <v>0</v>
      </c>
      <c r="L446">
        <f t="shared" si="27"/>
        <v>1</v>
      </c>
    </row>
    <row r="447" spans="1:12" x14ac:dyDescent="0.25">
      <c r="A447" t="s">
        <v>556</v>
      </c>
      <c r="B447" t="s">
        <v>18</v>
      </c>
      <c r="C447">
        <v>18</v>
      </c>
      <c r="D447">
        <v>6</v>
      </c>
      <c r="G447">
        <v>24</v>
      </c>
      <c r="H447">
        <v>0</v>
      </c>
      <c r="I447">
        <f t="shared" si="24"/>
        <v>1</v>
      </c>
      <c r="J447">
        <f t="shared" si="25"/>
        <v>0</v>
      </c>
      <c r="K447">
        <f t="shared" si="26"/>
        <v>0</v>
      </c>
      <c r="L447">
        <f t="shared" si="27"/>
        <v>1</v>
      </c>
    </row>
    <row r="448" spans="1:12" x14ac:dyDescent="0.25">
      <c r="A448" t="s">
        <v>557</v>
      </c>
      <c r="B448" t="s">
        <v>18</v>
      </c>
      <c r="C448">
        <v>4</v>
      </c>
      <c r="D448">
        <v>4</v>
      </c>
      <c r="G448">
        <v>8</v>
      </c>
      <c r="H448">
        <v>0</v>
      </c>
      <c r="I448">
        <f t="shared" si="24"/>
        <v>1</v>
      </c>
      <c r="J448">
        <f t="shared" si="25"/>
        <v>0</v>
      </c>
      <c r="K448">
        <f t="shared" si="26"/>
        <v>0</v>
      </c>
      <c r="L448">
        <f t="shared" si="27"/>
        <v>1</v>
      </c>
    </row>
    <row r="449" spans="1:12" x14ac:dyDescent="0.25">
      <c r="A449" t="s">
        <v>558</v>
      </c>
      <c r="B449" t="s">
        <v>18</v>
      </c>
      <c r="C449">
        <v>16</v>
      </c>
      <c r="D449">
        <v>4</v>
      </c>
      <c r="G449">
        <v>20</v>
      </c>
      <c r="H449">
        <v>0</v>
      </c>
      <c r="I449">
        <f t="shared" si="24"/>
        <v>1</v>
      </c>
      <c r="J449">
        <f t="shared" si="25"/>
        <v>0</v>
      </c>
      <c r="K449">
        <f t="shared" si="26"/>
        <v>0</v>
      </c>
      <c r="L449">
        <f t="shared" si="27"/>
        <v>1</v>
      </c>
    </row>
    <row r="450" spans="1:12" x14ac:dyDescent="0.25">
      <c r="A450" t="s">
        <v>559</v>
      </c>
      <c r="B450" t="s">
        <v>18</v>
      </c>
      <c r="C450">
        <v>4</v>
      </c>
      <c r="D450">
        <v>12</v>
      </c>
      <c r="G450">
        <v>16</v>
      </c>
      <c r="H450">
        <v>0</v>
      </c>
      <c r="I450">
        <f t="shared" si="24"/>
        <v>1</v>
      </c>
      <c r="J450">
        <f t="shared" si="25"/>
        <v>0</v>
      </c>
      <c r="K450">
        <f t="shared" si="26"/>
        <v>0</v>
      </c>
      <c r="L450">
        <f t="shared" si="27"/>
        <v>1</v>
      </c>
    </row>
    <row r="451" spans="1:12" x14ac:dyDescent="0.25">
      <c r="A451" t="s">
        <v>560</v>
      </c>
      <c r="B451" t="s">
        <v>18</v>
      </c>
      <c r="C451">
        <v>7</v>
      </c>
      <c r="D451">
        <v>6</v>
      </c>
      <c r="G451">
        <v>13</v>
      </c>
      <c r="H451">
        <v>0</v>
      </c>
      <c r="I451">
        <f t="shared" ref="I451:I514" si="28">IF(C451&gt;0, 1, 0)</f>
        <v>1</v>
      </c>
      <c r="J451">
        <f t="shared" ref="J451:J514" si="29">IF(E451&gt;0, 1,0)</f>
        <v>0</v>
      </c>
      <c r="K451">
        <f t="shared" ref="K451:K514" si="30">IF(F451&gt;0, 1, 0)</f>
        <v>0</v>
      </c>
      <c r="L451">
        <f t="shared" ref="L451:L514" si="31">IF(D451&gt;0, 1, 0)</f>
        <v>1</v>
      </c>
    </row>
    <row r="452" spans="1:12" x14ac:dyDescent="0.25">
      <c r="A452" t="s">
        <v>561</v>
      </c>
      <c r="B452" t="s">
        <v>18</v>
      </c>
      <c r="C452">
        <v>3</v>
      </c>
      <c r="D452">
        <v>7</v>
      </c>
      <c r="G452">
        <v>10</v>
      </c>
      <c r="H452">
        <v>0</v>
      </c>
      <c r="I452">
        <f t="shared" si="28"/>
        <v>1</v>
      </c>
      <c r="J452">
        <f t="shared" si="29"/>
        <v>0</v>
      </c>
      <c r="K452">
        <f t="shared" si="30"/>
        <v>0</v>
      </c>
      <c r="L452">
        <f t="shared" si="31"/>
        <v>1</v>
      </c>
    </row>
    <row r="453" spans="1:12" x14ac:dyDescent="0.25">
      <c r="A453" t="s">
        <v>562</v>
      </c>
      <c r="B453" t="s">
        <v>18</v>
      </c>
      <c r="C453">
        <v>3</v>
      </c>
      <c r="D453">
        <v>16</v>
      </c>
      <c r="G453">
        <v>19</v>
      </c>
      <c r="H453">
        <v>0</v>
      </c>
      <c r="I453">
        <f t="shared" si="28"/>
        <v>1</v>
      </c>
      <c r="J453">
        <f t="shared" si="29"/>
        <v>0</v>
      </c>
      <c r="K453">
        <f t="shared" si="30"/>
        <v>0</v>
      </c>
      <c r="L453">
        <f t="shared" si="31"/>
        <v>1</v>
      </c>
    </row>
    <row r="454" spans="1:12" x14ac:dyDescent="0.25">
      <c r="A454" t="s">
        <v>563</v>
      </c>
      <c r="B454" t="s">
        <v>18</v>
      </c>
      <c r="C454">
        <v>6</v>
      </c>
      <c r="D454">
        <v>12</v>
      </c>
      <c r="G454">
        <v>18</v>
      </c>
      <c r="H454">
        <v>0</v>
      </c>
      <c r="I454">
        <f t="shared" si="28"/>
        <v>1</v>
      </c>
      <c r="J454">
        <f t="shared" si="29"/>
        <v>0</v>
      </c>
      <c r="K454">
        <f t="shared" si="30"/>
        <v>0</v>
      </c>
      <c r="L454">
        <f t="shared" si="31"/>
        <v>1</v>
      </c>
    </row>
    <row r="455" spans="1:12" x14ac:dyDescent="0.25">
      <c r="A455" t="s">
        <v>564</v>
      </c>
      <c r="B455" t="s">
        <v>18</v>
      </c>
      <c r="C455">
        <v>12</v>
      </c>
      <c r="D455">
        <v>0</v>
      </c>
      <c r="G455">
        <v>12</v>
      </c>
      <c r="H455">
        <v>0</v>
      </c>
      <c r="I455">
        <f t="shared" si="28"/>
        <v>1</v>
      </c>
      <c r="J455">
        <f t="shared" si="29"/>
        <v>0</v>
      </c>
      <c r="K455">
        <f t="shared" si="30"/>
        <v>0</v>
      </c>
      <c r="L455">
        <f t="shared" si="31"/>
        <v>0</v>
      </c>
    </row>
    <row r="456" spans="1:12" x14ac:dyDescent="0.25">
      <c r="A456" t="s">
        <v>565</v>
      </c>
      <c r="B456" t="s">
        <v>18</v>
      </c>
      <c r="C456">
        <v>16</v>
      </c>
      <c r="D456">
        <v>12</v>
      </c>
      <c r="G456">
        <v>28</v>
      </c>
      <c r="H456">
        <v>0</v>
      </c>
      <c r="I456">
        <f t="shared" si="28"/>
        <v>1</v>
      </c>
      <c r="J456">
        <f t="shared" si="29"/>
        <v>0</v>
      </c>
      <c r="K456">
        <f t="shared" si="30"/>
        <v>0</v>
      </c>
      <c r="L456">
        <f t="shared" si="31"/>
        <v>1</v>
      </c>
    </row>
    <row r="457" spans="1:12" x14ac:dyDescent="0.25">
      <c r="A457" t="s">
        <v>566</v>
      </c>
      <c r="B457" t="s">
        <v>122</v>
      </c>
      <c r="C457">
        <v>26</v>
      </c>
      <c r="D457">
        <v>0</v>
      </c>
      <c r="G457">
        <v>26</v>
      </c>
      <c r="H457">
        <v>0</v>
      </c>
      <c r="I457">
        <f t="shared" si="28"/>
        <v>1</v>
      </c>
      <c r="J457">
        <f t="shared" si="29"/>
        <v>0</v>
      </c>
      <c r="K457">
        <f t="shared" si="30"/>
        <v>0</v>
      </c>
      <c r="L457">
        <f t="shared" si="31"/>
        <v>0</v>
      </c>
    </row>
    <row r="458" spans="1:12" x14ac:dyDescent="0.25">
      <c r="A458" t="s">
        <v>567</v>
      </c>
      <c r="B458" t="s">
        <v>122</v>
      </c>
      <c r="C458">
        <v>26</v>
      </c>
      <c r="D458">
        <v>0</v>
      </c>
      <c r="G458">
        <v>26</v>
      </c>
      <c r="H458">
        <v>0</v>
      </c>
      <c r="I458">
        <f t="shared" si="28"/>
        <v>1</v>
      </c>
      <c r="J458">
        <f t="shared" si="29"/>
        <v>0</v>
      </c>
      <c r="K458">
        <f t="shared" si="30"/>
        <v>0</v>
      </c>
      <c r="L458">
        <f t="shared" si="31"/>
        <v>0</v>
      </c>
    </row>
    <row r="459" spans="1:12" x14ac:dyDescent="0.25">
      <c r="A459" t="s">
        <v>568</v>
      </c>
      <c r="B459" t="s">
        <v>122</v>
      </c>
      <c r="C459">
        <v>3</v>
      </c>
      <c r="D459">
        <v>10</v>
      </c>
      <c r="G459">
        <v>13</v>
      </c>
      <c r="H459">
        <v>0</v>
      </c>
      <c r="I459">
        <f t="shared" si="28"/>
        <v>1</v>
      </c>
      <c r="J459">
        <f t="shared" si="29"/>
        <v>0</v>
      </c>
      <c r="K459">
        <f t="shared" si="30"/>
        <v>0</v>
      </c>
      <c r="L459">
        <f t="shared" si="31"/>
        <v>1</v>
      </c>
    </row>
    <row r="460" spans="1:12" x14ac:dyDescent="0.25">
      <c r="A460" t="s">
        <v>569</v>
      </c>
      <c r="B460" t="s">
        <v>122</v>
      </c>
      <c r="C460">
        <v>14</v>
      </c>
      <c r="D460">
        <v>0</v>
      </c>
      <c r="G460">
        <v>14</v>
      </c>
      <c r="H460">
        <v>0</v>
      </c>
      <c r="I460">
        <f t="shared" si="28"/>
        <v>1</v>
      </c>
      <c r="J460">
        <f t="shared" si="29"/>
        <v>0</v>
      </c>
      <c r="K460">
        <f t="shared" si="30"/>
        <v>0</v>
      </c>
      <c r="L460">
        <f t="shared" si="31"/>
        <v>0</v>
      </c>
    </row>
    <row r="461" spans="1:12" x14ac:dyDescent="0.25">
      <c r="A461" t="s">
        <v>570</v>
      </c>
      <c r="B461" t="s">
        <v>122</v>
      </c>
      <c r="C461">
        <v>14</v>
      </c>
      <c r="D461">
        <v>10</v>
      </c>
      <c r="G461">
        <v>24</v>
      </c>
      <c r="H461">
        <v>0</v>
      </c>
      <c r="I461">
        <f t="shared" si="28"/>
        <v>1</v>
      </c>
      <c r="J461">
        <f t="shared" si="29"/>
        <v>0</v>
      </c>
      <c r="K461">
        <f t="shared" si="30"/>
        <v>0</v>
      </c>
      <c r="L461">
        <f t="shared" si="31"/>
        <v>1</v>
      </c>
    </row>
    <row r="462" spans="1:12" x14ac:dyDescent="0.25">
      <c r="A462" t="s">
        <v>571</v>
      </c>
      <c r="B462" t="s">
        <v>122</v>
      </c>
      <c r="C462">
        <v>6</v>
      </c>
      <c r="D462">
        <v>6</v>
      </c>
      <c r="G462">
        <v>12</v>
      </c>
      <c r="H462">
        <v>0</v>
      </c>
      <c r="I462">
        <f t="shared" si="28"/>
        <v>1</v>
      </c>
      <c r="J462">
        <f t="shared" si="29"/>
        <v>0</v>
      </c>
      <c r="K462">
        <f t="shared" si="30"/>
        <v>0</v>
      </c>
      <c r="L462">
        <f t="shared" si="31"/>
        <v>1</v>
      </c>
    </row>
    <row r="463" spans="1:12" x14ac:dyDescent="0.25">
      <c r="A463" t="s">
        <v>572</v>
      </c>
      <c r="B463" t="s">
        <v>122</v>
      </c>
      <c r="C463">
        <v>12</v>
      </c>
      <c r="D463">
        <v>0</v>
      </c>
      <c r="G463">
        <v>12</v>
      </c>
      <c r="H463">
        <v>0</v>
      </c>
      <c r="I463">
        <f t="shared" si="28"/>
        <v>1</v>
      </c>
      <c r="J463">
        <f t="shared" si="29"/>
        <v>0</v>
      </c>
      <c r="K463">
        <f t="shared" si="30"/>
        <v>0</v>
      </c>
      <c r="L463">
        <f t="shared" si="31"/>
        <v>0</v>
      </c>
    </row>
    <row r="464" spans="1:12" x14ac:dyDescent="0.25">
      <c r="A464" t="s">
        <v>573</v>
      </c>
      <c r="B464" t="s">
        <v>122</v>
      </c>
      <c r="C464">
        <v>10</v>
      </c>
      <c r="D464">
        <v>0</v>
      </c>
      <c r="G464">
        <v>10</v>
      </c>
      <c r="H464">
        <v>0</v>
      </c>
      <c r="I464">
        <f t="shared" si="28"/>
        <v>1</v>
      </c>
      <c r="J464">
        <f t="shared" si="29"/>
        <v>0</v>
      </c>
      <c r="K464">
        <f t="shared" si="30"/>
        <v>0</v>
      </c>
      <c r="L464">
        <f t="shared" si="31"/>
        <v>0</v>
      </c>
    </row>
    <row r="465" spans="1:12" x14ac:dyDescent="0.25">
      <c r="A465" t="s">
        <v>574</v>
      </c>
      <c r="B465" t="s">
        <v>122</v>
      </c>
      <c r="C465">
        <v>12</v>
      </c>
      <c r="D465">
        <v>0</v>
      </c>
      <c r="G465">
        <v>12</v>
      </c>
      <c r="H465">
        <v>0</v>
      </c>
      <c r="I465">
        <f t="shared" si="28"/>
        <v>1</v>
      </c>
      <c r="J465">
        <f t="shared" si="29"/>
        <v>0</v>
      </c>
      <c r="K465">
        <f t="shared" si="30"/>
        <v>0</v>
      </c>
      <c r="L465">
        <f t="shared" si="31"/>
        <v>0</v>
      </c>
    </row>
    <row r="466" spans="1:12" x14ac:dyDescent="0.25">
      <c r="A466" t="s">
        <v>575</v>
      </c>
      <c r="B466" t="s">
        <v>122</v>
      </c>
      <c r="C466">
        <v>8</v>
      </c>
      <c r="E466">
        <v>4</v>
      </c>
      <c r="G466">
        <v>8</v>
      </c>
      <c r="H466">
        <v>4</v>
      </c>
      <c r="I466">
        <f t="shared" si="28"/>
        <v>1</v>
      </c>
      <c r="J466">
        <f t="shared" si="29"/>
        <v>1</v>
      </c>
      <c r="K466">
        <f t="shared" si="30"/>
        <v>0</v>
      </c>
      <c r="L466">
        <f t="shared" si="31"/>
        <v>0</v>
      </c>
    </row>
    <row r="467" spans="1:12" x14ac:dyDescent="0.25">
      <c r="A467" t="s">
        <v>576</v>
      </c>
      <c r="B467" t="s">
        <v>21</v>
      </c>
      <c r="C467">
        <v>3</v>
      </c>
      <c r="D467">
        <v>1</v>
      </c>
      <c r="G467">
        <v>4</v>
      </c>
      <c r="H467">
        <v>0</v>
      </c>
      <c r="I467">
        <f t="shared" si="28"/>
        <v>1</v>
      </c>
      <c r="J467">
        <f t="shared" si="29"/>
        <v>0</v>
      </c>
      <c r="K467">
        <f t="shared" si="30"/>
        <v>0</v>
      </c>
      <c r="L467">
        <f t="shared" si="31"/>
        <v>1</v>
      </c>
    </row>
    <row r="468" spans="1:12" x14ac:dyDescent="0.25">
      <c r="A468" t="s">
        <v>577</v>
      </c>
      <c r="B468" t="s">
        <v>21</v>
      </c>
      <c r="C468">
        <v>9</v>
      </c>
      <c r="D468">
        <v>12</v>
      </c>
      <c r="G468">
        <v>21</v>
      </c>
      <c r="H468">
        <v>0</v>
      </c>
      <c r="I468">
        <f t="shared" si="28"/>
        <v>1</v>
      </c>
      <c r="J468">
        <f t="shared" si="29"/>
        <v>0</v>
      </c>
      <c r="K468">
        <f t="shared" si="30"/>
        <v>0</v>
      </c>
      <c r="L468">
        <f t="shared" si="31"/>
        <v>1</v>
      </c>
    </row>
    <row r="469" spans="1:12" x14ac:dyDescent="0.25">
      <c r="A469" t="s">
        <v>578</v>
      </c>
      <c r="B469" t="s">
        <v>21</v>
      </c>
      <c r="C469">
        <v>8</v>
      </c>
      <c r="D469">
        <v>24</v>
      </c>
      <c r="G469">
        <v>32</v>
      </c>
      <c r="H469">
        <v>0</v>
      </c>
      <c r="I469">
        <f t="shared" si="28"/>
        <v>1</v>
      </c>
      <c r="J469">
        <f t="shared" si="29"/>
        <v>0</v>
      </c>
      <c r="K469">
        <f t="shared" si="30"/>
        <v>0</v>
      </c>
      <c r="L469">
        <f t="shared" si="31"/>
        <v>1</v>
      </c>
    </row>
    <row r="470" spans="1:12" x14ac:dyDescent="0.25">
      <c r="A470" t="s">
        <v>579</v>
      </c>
      <c r="B470" t="s">
        <v>21</v>
      </c>
      <c r="C470">
        <v>10</v>
      </c>
      <c r="D470">
        <v>0</v>
      </c>
      <c r="G470">
        <v>10</v>
      </c>
      <c r="H470">
        <v>0</v>
      </c>
      <c r="I470">
        <f t="shared" si="28"/>
        <v>1</v>
      </c>
      <c r="J470">
        <f t="shared" si="29"/>
        <v>0</v>
      </c>
      <c r="K470">
        <f t="shared" si="30"/>
        <v>0</v>
      </c>
      <c r="L470">
        <f t="shared" si="31"/>
        <v>0</v>
      </c>
    </row>
    <row r="471" spans="1:12" x14ac:dyDescent="0.25">
      <c r="A471" t="s">
        <v>580</v>
      </c>
      <c r="B471" t="s">
        <v>21</v>
      </c>
      <c r="C471">
        <v>6</v>
      </c>
      <c r="D471">
        <v>6</v>
      </c>
      <c r="G471">
        <v>12</v>
      </c>
      <c r="H471">
        <v>0</v>
      </c>
      <c r="I471">
        <f t="shared" si="28"/>
        <v>1</v>
      </c>
      <c r="J471">
        <f t="shared" si="29"/>
        <v>0</v>
      </c>
      <c r="K471">
        <f t="shared" si="30"/>
        <v>0</v>
      </c>
      <c r="L471">
        <f t="shared" si="31"/>
        <v>1</v>
      </c>
    </row>
    <row r="472" spans="1:12" x14ac:dyDescent="0.25">
      <c r="A472" t="s">
        <v>581</v>
      </c>
      <c r="B472" t="s">
        <v>21</v>
      </c>
      <c r="C472">
        <v>12</v>
      </c>
      <c r="D472">
        <v>17</v>
      </c>
      <c r="G472">
        <v>29</v>
      </c>
      <c r="H472">
        <v>0</v>
      </c>
      <c r="I472">
        <f t="shared" si="28"/>
        <v>1</v>
      </c>
      <c r="J472">
        <f t="shared" si="29"/>
        <v>0</v>
      </c>
      <c r="K472">
        <f t="shared" si="30"/>
        <v>0</v>
      </c>
      <c r="L472">
        <f t="shared" si="31"/>
        <v>1</v>
      </c>
    </row>
    <row r="473" spans="1:12" x14ac:dyDescent="0.25">
      <c r="A473" t="s">
        <v>582</v>
      </c>
      <c r="B473" t="s">
        <v>21</v>
      </c>
      <c r="C473">
        <v>6</v>
      </c>
      <c r="D473">
        <v>6</v>
      </c>
      <c r="G473">
        <v>12</v>
      </c>
      <c r="H473">
        <v>0</v>
      </c>
      <c r="I473">
        <f t="shared" si="28"/>
        <v>1</v>
      </c>
      <c r="J473">
        <f t="shared" si="29"/>
        <v>0</v>
      </c>
      <c r="K473">
        <f t="shared" si="30"/>
        <v>0</v>
      </c>
      <c r="L473">
        <f t="shared" si="31"/>
        <v>1</v>
      </c>
    </row>
    <row r="474" spans="1:12" x14ac:dyDescent="0.25">
      <c r="A474" t="s">
        <v>583</v>
      </c>
      <c r="B474" t="s">
        <v>21</v>
      </c>
      <c r="C474">
        <v>14</v>
      </c>
      <c r="D474">
        <v>26</v>
      </c>
      <c r="G474">
        <v>40</v>
      </c>
      <c r="H474">
        <v>0</v>
      </c>
      <c r="I474">
        <f t="shared" si="28"/>
        <v>1</v>
      </c>
      <c r="J474">
        <f t="shared" si="29"/>
        <v>0</v>
      </c>
      <c r="K474">
        <f t="shared" si="30"/>
        <v>0</v>
      </c>
      <c r="L474">
        <f t="shared" si="31"/>
        <v>1</v>
      </c>
    </row>
    <row r="475" spans="1:12" x14ac:dyDescent="0.25">
      <c r="A475" t="s">
        <v>584</v>
      </c>
      <c r="B475" t="s">
        <v>21</v>
      </c>
      <c r="C475">
        <v>6</v>
      </c>
      <c r="D475">
        <v>18</v>
      </c>
      <c r="G475">
        <v>24</v>
      </c>
      <c r="H475">
        <v>0</v>
      </c>
      <c r="I475">
        <f t="shared" si="28"/>
        <v>1</v>
      </c>
      <c r="J475">
        <f t="shared" si="29"/>
        <v>0</v>
      </c>
      <c r="K475">
        <f t="shared" si="30"/>
        <v>0</v>
      </c>
      <c r="L475">
        <f t="shared" si="31"/>
        <v>1</v>
      </c>
    </row>
    <row r="476" spans="1:12" x14ac:dyDescent="0.25">
      <c r="A476" t="s">
        <v>585</v>
      </c>
      <c r="B476" t="s">
        <v>21</v>
      </c>
      <c r="C476">
        <v>26</v>
      </c>
      <c r="D476">
        <v>0</v>
      </c>
      <c r="G476">
        <v>26</v>
      </c>
      <c r="H476">
        <v>0</v>
      </c>
      <c r="I476">
        <f t="shared" si="28"/>
        <v>1</v>
      </c>
      <c r="J476">
        <f t="shared" si="29"/>
        <v>0</v>
      </c>
      <c r="K476">
        <f t="shared" si="30"/>
        <v>0</v>
      </c>
      <c r="L476">
        <f t="shared" si="31"/>
        <v>0</v>
      </c>
    </row>
    <row r="477" spans="1:12" x14ac:dyDescent="0.25">
      <c r="A477" t="s">
        <v>586</v>
      </c>
      <c r="B477" t="s">
        <v>21</v>
      </c>
      <c r="C477">
        <v>6</v>
      </c>
      <c r="D477">
        <v>0</v>
      </c>
      <c r="G477">
        <v>6</v>
      </c>
      <c r="H477">
        <v>0</v>
      </c>
      <c r="I477">
        <f t="shared" si="28"/>
        <v>1</v>
      </c>
      <c r="J477">
        <f t="shared" si="29"/>
        <v>0</v>
      </c>
      <c r="K477">
        <f t="shared" si="30"/>
        <v>0</v>
      </c>
      <c r="L477">
        <f t="shared" si="31"/>
        <v>0</v>
      </c>
    </row>
    <row r="478" spans="1:12" x14ac:dyDescent="0.25">
      <c r="A478" t="s">
        <v>587</v>
      </c>
      <c r="B478" t="s">
        <v>21</v>
      </c>
      <c r="C478">
        <v>20</v>
      </c>
      <c r="D478">
        <v>0</v>
      </c>
      <c r="G478">
        <v>20</v>
      </c>
      <c r="H478">
        <v>0</v>
      </c>
      <c r="I478">
        <f t="shared" si="28"/>
        <v>1</v>
      </c>
      <c r="J478">
        <f t="shared" si="29"/>
        <v>0</v>
      </c>
      <c r="K478">
        <f t="shared" si="30"/>
        <v>0</v>
      </c>
      <c r="L478">
        <f t="shared" si="31"/>
        <v>0</v>
      </c>
    </row>
    <row r="479" spans="1:12" x14ac:dyDescent="0.25">
      <c r="A479" t="s">
        <v>588</v>
      </c>
      <c r="B479" t="s">
        <v>21</v>
      </c>
      <c r="C479">
        <v>8</v>
      </c>
      <c r="D479">
        <v>0</v>
      </c>
      <c r="G479">
        <v>8</v>
      </c>
      <c r="H479">
        <v>0</v>
      </c>
      <c r="I479">
        <f t="shared" si="28"/>
        <v>1</v>
      </c>
      <c r="J479">
        <f t="shared" si="29"/>
        <v>0</v>
      </c>
      <c r="K479">
        <f t="shared" si="30"/>
        <v>0</v>
      </c>
      <c r="L479">
        <f t="shared" si="31"/>
        <v>0</v>
      </c>
    </row>
    <row r="480" spans="1:12" x14ac:dyDescent="0.25">
      <c r="A480" t="s">
        <v>589</v>
      </c>
      <c r="B480" t="s">
        <v>21</v>
      </c>
      <c r="C480">
        <v>12</v>
      </c>
      <c r="D480">
        <v>12</v>
      </c>
      <c r="G480">
        <v>24</v>
      </c>
      <c r="H480">
        <v>0</v>
      </c>
      <c r="I480">
        <f t="shared" si="28"/>
        <v>1</v>
      </c>
      <c r="J480">
        <f t="shared" si="29"/>
        <v>0</v>
      </c>
      <c r="K480">
        <f t="shared" si="30"/>
        <v>0</v>
      </c>
      <c r="L480">
        <f t="shared" si="31"/>
        <v>1</v>
      </c>
    </row>
    <row r="481" spans="1:12" x14ac:dyDescent="0.25">
      <c r="A481" t="s">
        <v>590</v>
      </c>
      <c r="B481" t="s">
        <v>127</v>
      </c>
      <c r="C481">
        <v>19.5</v>
      </c>
      <c r="D481">
        <v>6</v>
      </c>
      <c r="G481">
        <v>25.5</v>
      </c>
      <c r="H481">
        <v>0</v>
      </c>
      <c r="I481">
        <f t="shared" si="28"/>
        <v>1</v>
      </c>
      <c r="J481">
        <f t="shared" si="29"/>
        <v>0</v>
      </c>
      <c r="K481">
        <f t="shared" si="30"/>
        <v>0</v>
      </c>
      <c r="L481">
        <f t="shared" si="31"/>
        <v>1</v>
      </c>
    </row>
    <row r="482" spans="1:12" x14ac:dyDescent="0.25">
      <c r="A482" t="s">
        <v>591</v>
      </c>
      <c r="B482" t="s">
        <v>127</v>
      </c>
      <c r="C482">
        <v>12</v>
      </c>
      <c r="D482">
        <v>12</v>
      </c>
      <c r="G482">
        <v>24</v>
      </c>
      <c r="H482">
        <v>0</v>
      </c>
      <c r="I482">
        <f t="shared" si="28"/>
        <v>1</v>
      </c>
      <c r="J482">
        <f t="shared" si="29"/>
        <v>0</v>
      </c>
      <c r="K482">
        <f t="shared" si="30"/>
        <v>0</v>
      </c>
      <c r="L482">
        <f t="shared" si="31"/>
        <v>1</v>
      </c>
    </row>
    <row r="483" spans="1:12" x14ac:dyDescent="0.25">
      <c r="A483" t="s">
        <v>592</v>
      </c>
      <c r="B483" t="s">
        <v>127</v>
      </c>
      <c r="C483">
        <v>8</v>
      </c>
      <c r="D483">
        <v>3</v>
      </c>
      <c r="G483">
        <v>11</v>
      </c>
      <c r="H483">
        <v>0</v>
      </c>
      <c r="I483">
        <f t="shared" si="28"/>
        <v>1</v>
      </c>
      <c r="J483">
        <f t="shared" si="29"/>
        <v>0</v>
      </c>
      <c r="K483">
        <f t="shared" si="30"/>
        <v>0</v>
      </c>
      <c r="L483">
        <f t="shared" si="31"/>
        <v>1</v>
      </c>
    </row>
    <row r="484" spans="1:12" x14ac:dyDescent="0.25">
      <c r="A484" t="s">
        <v>593</v>
      </c>
      <c r="B484" t="s">
        <v>127</v>
      </c>
      <c r="C484">
        <v>8.5</v>
      </c>
      <c r="D484">
        <v>0</v>
      </c>
      <c r="G484">
        <v>8.5</v>
      </c>
      <c r="H484">
        <v>0</v>
      </c>
      <c r="I484">
        <f t="shared" si="28"/>
        <v>1</v>
      </c>
      <c r="J484">
        <f t="shared" si="29"/>
        <v>0</v>
      </c>
      <c r="K484">
        <f t="shared" si="30"/>
        <v>0</v>
      </c>
      <c r="L484">
        <f t="shared" si="31"/>
        <v>0</v>
      </c>
    </row>
    <row r="485" spans="1:12" x14ac:dyDescent="0.25">
      <c r="A485" t="s">
        <v>594</v>
      </c>
      <c r="B485" t="s">
        <v>127</v>
      </c>
      <c r="C485">
        <v>12</v>
      </c>
      <c r="D485">
        <v>2</v>
      </c>
      <c r="G485">
        <v>14</v>
      </c>
      <c r="H485">
        <v>0</v>
      </c>
      <c r="I485">
        <f t="shared" si="28"/>
        <v>1</v>
      </c>
      <c r="J485">
        <f t="shared" si="29"/>
        <v>0</v>
      </c>
      <c r="K485">
        <f t="shared" si="30"/>
        <v>0</v>
      </c>
      <c r="L485">
        <f t="shared" si="31"/>
        <v>1</v>
      </c>
    </row>
    <row r="486" spans="1:12" x14ac:dyDescent="0.25">
      <c r="A486" t="s">
        <v>595</v>
      </c>
      <c r="B486" t="s">
        <v>127</v>
      </c>
      <c r="C486">
        <v>10</v>
      </c>
      <c r="D486">
        <v>0</v>
      </c>
      <c r="G486">
        <v>10</v>
      </c>
      <c r="H486">
        <v>0</v>
      </c>
      <c r="I486">
        <f t="shared" si="28"/>
        <v>1</v>
      </c>
      <c r="J486">
        <f t="shared" si="29"/>
        <v>0</v>
      </c>
      <c r="K486">
        <f t="shared" si="30"/>
        <v>0</v>
      </c>
      <c r="L486">
        <f t="shared" si="31"/>
        <v>0</v>
      </c>
    </row>
    <row r="487" spans="1:12" x14ac:dyDescent="0.25">
      <c r="A487" t="s">
        <v>596</v>
      </c>
      <c r="B487" t="s">
        <v>597</v>
      </c>
      <c r="C487">
        <v>6</v>
      </c>
      <c r="D487">
        <v>0</v>
      </c>
      <c r="G487">
        <v>6</v>
      </c>
      <c r="H487">
        <v>0</v>
      </c>
      <c r="I487">
        <f t="shared" si="28"/>
        <v>1</v>
      </c>
      <c r="J487">
        <f t="shared" si="29"/>
        <v>0</v>
      </c>
      <c r="K487">
        <f t="shared" si="30"/>
        <v>0</v>
      </c>
      <c r="L487">
        <f t="shared" si="31"/>
        <v>0</v>
      </c>
    </row>
    <row r="488" spans="1:12" x14ac:dyDescent="0.25">
      <c r="A488" t="s">
        <v>598</v>
      </c>
      <c r="B488" t="s">
        <v>597</v>
      </c>
      <c r="C488">
        <v>16</v>
      </c>
      <c r="E488">
        <v>16</v>
      </c>
      <c r="G488">
        <v>16</v>
      </c>
      <c r="H488">
        <v>16</v>
      </c>
      <c r="I488">
        <f t="shared" si="28"/>
        <v>1</v>
      </c>
      <c r="J488">
        <f t="shared" si="29"/>
        <v>1</v>
      </c>
      <c r="K488">
        <f t="shared" si="30"/>
        <v>0</v>
      </c>
      <c r="L488">
        <f t="shared" si="31"/>
        <v>0</v>
      </c>
    </row>
    <row r="489" spans="1:12" x14ac:dyDescent="0.25">
      <c r="A489" t="s">
        <v>599</v>
      </c>
      <c r="B489" t="s">
        <v>131</v>
      </c>
      <c r="C489">
        <v>6</v>
      </c>
      <c r="D489">
        <v>0</v>
      </c>
      <c r="G489">
        <v>6</v>
      </c>
      <c r="H489">
        <v>0</v>
      </c>
      <c r="I489">
        <f t="shared" si="28"/>
        <v>1</v>
      </c>
      <c r="J489">
        <f t="shared" si="29"/>
        <v>0</v>
      </c>
      <c r="K489">
        <f t="shared" si="30"/>
        <v>0</v>
      </c>
      <c r="L489">
        <f t="shared" si="31"/>
        <v>0</v>
      </c>
    </row>
    <row r="490" spans="1:12" x14ac:dyDescent="0.25">
      <c r="A490" t="s">
        <v>600</v>
      </c>
      <c r="B490" t="s">
        <v>133</v>
      </c>
      <c r="C490">
        <v>12</v>
      </c>
      <c r="E490">
        <v>6</v>
      </c>
      <c r="G490">
        <v>12</v>
      </c>
      <c r="H490">
        <v>6</v>
      </c>
      <c r="I490">
        <f t="shared" si="28"/>
        <v>1</v>
      </c>
      <c r="J490">
        <f t="shared" si="29"/>
        <v>1</v>
      </c>
      <c r="K490">
        <f t="shared" si="30"/>
        <v>0</v>
      </c>
      <c r="L490">
        <f t="shared" si="31"/>
        <v>0</v>
      </c>
    </row>
    <row r="491" spans="1:12" x14ac:dyDescent="0.25">
      <c r="A491" t="s">
        <v>601</v>
      </c>
      <c r="B491" t="s">
        <v>133</v>
      </c>
      <c r="C491">
        <v>12</v>
      </c>
      <c r="D491">
        <v>4</v>
      </c>
      <c r="G491">
        <v>16</v>
      </c>
      <c r="H491">
        <v>0</v>
      </c>
      <c r="I491">
        <f t="shared" si="28"/>
        <v>1</v>
      </c>
      <c r="J491">
        <f t="shared" si="29"/>
        <v>0</v>
      </c>
      <c r="K491">
        <f t="shared" si="30"/>
        <v>0</v>
      </c>
      <c r="L491">
        <f t="shared" si="31"/>
        <v>1</v>
      </c>
    </row>
    <row r="492" spans="1:12" x14ac:dyDescent="0.25">
      <c r="A492" t="s">
        <v>602</v>
      </c>
      <c r="B492" t="s">
        <v>133</v>
      </c>
      <c r="C492">
        <v>12</v>
      </c>
      <c r="D492">
        <v>12</v>
      </c>
      <c r="G492">
        <v>24</v>
      </c>
      <c r="H492">
        <v>0</v>
      </c>
      <c r="I492">
        <f t="shared" si="28"/>
        <v>1</v>
      </c>
      <c r="J492">
        <f t="shared" si="29"/>
        <v>0</v>
      </c>
      <c r="K492">
        <f t="shared" si="30"/>
        <v>0</v>
      </c>
      <c r="L492">
        <f t="shared" si="31"/>
        <v>1</v>
      </c>
    </row>
    <row r="493" spans="1:12" x14ac:dyDescent="0.25">
      <c r="A493" t="s">
        <v>603</v>
      </c>
      <c r="B493" t="s">
        <v>133</v>
      </c>
      <c r="C493">
        <v>12</v>
      </c>
      <c r="D493">
        <v>0</v>
      </c>
      <c r="G493">
        <v>12</v>
      </c>
      <c r="H493">
        <v>0</v>
      </c>
      <c r="I493">
        <f t="shared" si="28"/>
        <v>1</v>
      </c>
      <c r="J493">
        <f t="shared" si="29"/>
        <v>0</v>
      </c>
      <c r="K493">
        <f t="shared" si="30"/>
        <v>0</v>
      </c>
      <c r="L493">
        <f t="shared" si="31"/>
        <v>0</v>
      </c>
    </row>
    <row r="494" spans="1:12" x14ac:dyDescent="0.25">
      <c r="A494" t="s">
        <v>604</v>
      </c>
      <c r="B494" t="s">
        <v>133</v>
      </c>
      <c r="C494">
        <v>24</v>
      </c>
      <c r="D494">
        <v>0</v>
      </c>
      <c r="G494">
        <v>24</v>
      </c>
      <c r="H494">
        <v>0</v>
      </c>
      <c r="I494">
        <f t="shared" si="28"/>
        <v>1</v>
      </c>
      <c r="J494">
        <f t="shared" si="29"/>
        <v>0</v>
      </c>
      <c r="K494">
        <f t="shared" si="30"/>
        <v>0</v>
      </c>
      <c r="L494">
        <f t="shared" si="31"/>
        <v>0</v>
      </c>
    </row>
    <row r="495" spans="1:12" x14ac:dyDescent="0.25">
      <c r="A495" t="s">
        <v>605</v>
      </c>
      <c r="B495" t="s">
        <v>133</v>
      </c>
      <c r="C495">
        <v>12</v>
      </c>
      <c r="D495">
        <v>8</v>
      </c>
      <c r="G495">
        <v>20</v>
      </c>
      <c r="H495">
        <v>0</v>
      </c>
      <c r="I495">
        <f t="shared" si="28"/>
        <v>1</v>
      </c>
      <c r="J495">
        <f t="shared" si="29"/>
        <v>0</v>
      </c>
      <c r="K495">
        <f t="shared" si="30"/>
        <v>0</v>
      </c>
      <c r="L495">
        <f t="shared" si="31"/>
        <v>1</v>
      </c>
    </row>
    <row r="496" spans="1:12" x14ac:dyDescent="0.25">
      <c r="A496" t="s">
        <v>606</v>
      </c>
      <c r="B496" t="s">
        <v>133</v>
      </c>
      <c r="C496">
        <v>12</v>
      </c>
      <c r="D496">
        <v>12</v>
      </c>
      <c r="G496">
        <v>24</v>
      </c>
      <c r="H496">
        <v>0</v>
      </c>
      <c r="I496">
        <f t="shared" si="28"/>
        <v>1</v>
      </c>
      <c r="J496">
        <f t="shared" si="29"/>
        <v>0</v>
      </c>
      <c r="K496">
        <f t="shared" si="30"/>
        <v>0</v>
      </c>
      <c r="L496">
        <f t="shared" si="31"/>
        <v>1</v>
      </c>
    </row>
    <row r="497" spans="1:12" x14ac:dyDescent="0.25">
      <c r="A497" t="s">
        <v>607</v>
      </c>
      <c r="B497" t="s">
        <v>23</v>
      </c>
      <c r="C497">
        <v>2</v>
      </c>
      <c r="D497">
        <v>12</v>
      </c>
      <c r="G497">
        <v>14</v>
      </c>
      <c r="H497">
        <v>0</v>
      </c>
      <c r="I497">
        <f t="shared" si="28"/>
        <v>1</v>
      </c>
      <c r="J497">
        <f t="shared" si="29"/>
        <v>0</v>
      </c>
      <c r="K497">
        <f t="shared" si="30"/>
        <v>0</v>
      </c>
      <c r="L497">
        <f t="shared" si="31"/>
        <v>1</v>
      </c>
    </row>
    <row r="498" spans="1:12" x14ac:dyDescent="0.25">
      <c r="A498" t="s">
        <v>608</v>
      </c>
      <c r="B498" t="s">
        <v>23</v>
      </c>
      <c r="C498">
        <v>5</v>
      </c>
      <c r="D498">
        <v>3</v>
      </c>
      <c r="G498">
        <v>8</v>
      </c>
      <c r="H498">
        <v>0</v>
      </c>
      <c r="I498">
        <f t="shared" si="28"/>
        <v>1</v>
      </c>
      <c r="J498">
        <f t="shared" si="29"/>
        <v>0</v>
      </c>
      <c r="K498">
        <f t="shared" si="30"/>
        <v>0</v>
      </c>
      <c r="L498">
        <f t="shared" si="31"/>
        <v>1</v>
      </c>
    </row>
    <row r="499" spans="1:12" x14ac:dyDescent="0.25">
      <c r="A499" t="s">
        <v>609</v>
      </c>
      <c r="B499" t="s">
        <v>23</v>
      </c>
      <c r="C499">
        <v>5</v>
      </c>
      <c r="D499">
        <v>8</v>
      </c>
      <c r="G499">
        <v>13</v>
      </c>
      <c r="H499">
        <v>0</v>
      </c>
      <c r="I499">
        <f t="shared" si="28"/>
        <v>1</v>
      </c>
      <c r="J499">
        <f t="shared" si="29"/>
        <v>0</v>
      </c>
      <c r="K499">
        <f t="shared" si="30"/>
        <v>0</v>
      </c>
      <c r="L499">
        <f t="shared" si="31"/>
        <v>1</v>
      </c>
    </row>
    <row r="500" spans="1:12" x14ac:dyDescent="0.25">
      <c r="A500" t="s">
        <v>610</v>
      </c>
      <c r="B500" t="s">
        <v>23</v>
      </c>
      <c r="C500">
        <v>2</v>
      </c>
      <c r="D500">
        <v>0</v>
      </c>
      <c r="G500">
        <v>2</v>
      </c>
      <c r="H500">
        <v>0</v>
      </c>
      <c r="I500">
        <f t="shared" si="28"/>
        <v>1</v>
      </c>
      <c r="J500">
        <f t="shared" si="29"/>
        <v>0</v>
      </c>
      <c r="K500">
        <f t="shared" si="30"/>
        <v>0</v>
      </c>
      <c r="L500">
        <f t="shared" si="31"/>
        <v>0</v>
      </c>
    </row>
    <row r="501" spans="1:12" x14ac:dyDescent="0.25">
      <c r="A501" t="s">
        <v>611</v>
      </c>
      <c r="B501" t="s">
        <v>612</v>
      </c>
      <c r="C501">
        <v>4</v>
      </c>
      <c r="D501">
        <v>12</v>
      </c>
      <c r="G501">
        <v>16</v>
      </c>
      <c r="H501">
        <v>0</v>
      </c>
      <c r="I501">
        <f t="shared" si="28"/>
        <v>1</v>
      </c>
      <c r="J501">
        <f t="shared" si="29"/>
        <v>0</v>
      </c>
      <c r="K501">
        <f t="shared" si="30"/>
        <v>0</v>
      </c>
      <c r="L501">
        <f t="shared" si="31"/>
        <v>1</v>
      </c>
    </row>
    <row r="502" spans="1:12" x14ac:dyDescent="0.25">
      <c r="A502" t="s">
        <v>613</v>
      </c>
      <c r="B502" t="s">
        <v>612</v>
      </c>
      <c r="C502">
        <v>12</v>
      </c>
      <c r="D502">
        <v>12</v>
      </c>
      <c r="G502">
        <v>24</v>
      </c>
      <c r="H502">
        <v>0</v>
      </c>
      <c r="I502">
        <f t="shared" si="28"/>
        <v>1</v>
      </c>
      <c r="J502">
        <f t="shared" si="29"/>
        <v>0</v>
      </c>
      <c r="K502">
        <f t="shared" si="30"/>
        <v>0</v>
      </c>
      <c r="L502">
        <f t="shared" si="31"/>
        <v>1</v>
      </c>
    </row>
    <row r="503" spans="1:12" x14ac:dyDescent="0.25">
      <c r="A503" t="s">
        <v>614</v>
      </c>
      <c r="B503" t="s">
        <v>612</v>
      </c>
      <c r="C503">
        <v>16</v>
      </c>
      <c r="D503">
        <v>8</v>
      </c>
      <c r="G503">
        <v>24</v>
      </c>
      <c r="H503">
        <v>0</v>
      </c>
      <c r="I503">
        <f t="shared" si="28"/>
        <v>1</v>
      </c>
      <c r="J503">
        <f t="shared" si="29"/>
        <v>0</v>
      </c>
      <c r="K503">
        <f t="shared" si="30"/>
        <v>0</v>
      </c>
      <c r="L503">
        <f t="shared" si="31"/>
        <v>1</v>
      </c>
    </row>
    <row r="504" spans="1:12" x14ac:dyDescent="0.25">
      <c r="A504" t="s">
        <v>615</v>
      </c>
      <c r="B504" t="s">
        <v>26</v>
      </c>
      <c r="C504">
        <v>8</v>
      </c>
      <c r="D504">
        <v>6</v>
      </c>
      <c r="G504">
        <v>14</v>
      </c>
      <c r="H504">
        <v>0</v>
      </c>
      <c r="I504">
        <f t="shared" si="28"/>
        <v>1</v>
      </c>
      <c r="J504">
        <f t="shared" si="29"/>
        <v>0</v>
      </c>
      <c r="K504">
        <f t="shared" si="30"/>
        <v>0</v>
      </c>
      <c r="L504">
        <f t="shared" si="31"/>
        <v>1</v>
      </c>
    </row>
    <row r="505" spans="1:12" x14ac:dyDescent="0.25">
      <c r="A505" t="s">
        <v>616</v>
      </c>
      <c r="B505" t="s">
        <v>26</v>
      </c>
      <c r="C505">
        <v>0</v>
      </c>
      <c r="D505">
        <v>6</v>
      </c>
      <c r="G505">
        <v>6</v>
      </c>
      <c r="H505">
        <v>0</v>
      </c>
      <c r="I505">
        <f t="shared" si="28"/>
        <v>0</v>
      </c>
      <c r="J505">
        <f t="shared" si="29"/>
        <v>0</v>
      </c>
      <c r="K505">
        <f t="shared" si="30"/>
        <v>0</v>
      </c>
      <c r="L505">
        <f t="shared" si="31"/>
        <v>1</v>
      </c>
    </row>
    <row r="506" spans="1:12" x14ac:dyDescent="0.25">
      <c r="A506" t="s">
        <v>617</v>
      </c>
      <c r="B506" t="s">
        <v>26</v>
      </c>
      <c r="C506">
        <v>4</v>
      </c>
      <c r="D506">
        <v>12</v>
      </c>
      <c r="G506">
        <v>16</v>
      </c>
      <c r="H506">
        <v>0</v>
      </c>
      <c r="I506">
        <f t="shared" si="28"/>
        <v>1</v>
      </c>
      <c r="J506">
        <f t="shared" si="29"/>
        <v>0</v>
      </c>
      <c r="K506">
        <f t="shared" si="30"/>
        <v>0</v>
      </c>
      <c r="L506">
        <f t="shared" si="31"/>
        <v>1</v>
      </c>
    </row>
    <row r="507" spans="1:12" x14ac:dyDescent="0.25">
      <c r="A507" t="s">
        <v>618</v>
      </c>
      <c r="B507" t="s">
        <v>26</v>
      </c>
      <c r="C507">
        <v>12</v>
      </c>
      <c r="D507">
        <v>4</v>
      </c>
      <c r="G507">
        <v>16</v>
      </c>
      <c r="H507">
        <v>0</v>
      </c>
      <c r="I507">
        <f t="shared" si="28"/>
        <v>1</v>
      </c>
      <c r="J507">
        <f t="shared" si="29"/>
        <v>0</v>
      </c>
      <c r="K507">
        <f t="shared" si="30"/>
        <v>0</v>
      </c>
      <c r="L507">
        <f t="shared" si="31"/>
        <v>1</v>
      </c>
    </row>
    <row r="508" spans="1:12" x14ac:dyDescent="0.25">
      <c r="A508" t="s">
        <v>619</v>
      </c>
      <c r="B508" t="s">
        <v>26</v>
      </c>
      <c r="C508">
        <v>7</v>
      </c>
      <c r="D508">
        <v>0</v>
      </c>
      <c r="G508">
        <v>7</v>
      </c>
      <c r="H508">
        <v>0</v>
      </c>
      <c r="I508">
        <f t="shared" si="28"/>
        <v>1</v>
      </c>
      <c r="J508">
        <f t="shared" si="29"/>
        <v>0</v>
      </c>
      <c r="K508">
        <f t="shared" si="30"/>
        <v>0</v>
      </c>
      <c r="L508">
        <f t="shared" si="31"/>
        <v>0</v>
      </c>
    </row>
    <row r="509" spans="1:12" x14ac:dyDescent="0.25">
      <c r="A509" t="s">
        <v>620</v>
      </c>
      <c r="B509" t="s">
        <v>26</v>
      </c>
      <c r="C509">
        <v>3</v>
      </c>
      <c r="D509">
        <v>9</v>
      </c>
      <c r="G509">
        <v>12</v>
      </c>
      <c r="H509">
        <v>0</v>
      </c>
      <c r="I509">
        <f t="shared" si="28"/>
        <v>1</v>
      </c>
      <c r="J509">
        <f t="shared" si="29"/>
        <v>0</v>
      </c>
      <c r="K509">
        <f t="shared" si="30"/>
        <v>0</v>
      </c>
      <c r="L509">
        <f t="shared" si="31"/>
        <v>1</v>
      </c>
    </row>
    <row r="510" spans="1:12" x14ac:dyDescent="0.25">
      <c r="A510" t="s">
        <v>621</v>
      </c>
      <c r="B510" t="s">
        <v>26</v>
      </c>
      <c r="C510">
        <v>6</v>
      </c>
      <c r="D510">
        <v>12</v>
      </c>
      <c r="G510">
        <v>18</v>
      </c>
      <c r="H510">
        <v>0</v>
      </c>
      <c r="I510">
        <f t="shared" si="28"/>
        <v>1</v>
      </c>
      <c r="J510">
        <f t="shared" si="29"/>
        <v>0</v>
      </c>
      <c r="K510">
        <f t="shared" si="30"/>
        <v>0</v>
      </c>
      <c r="L510">
        <f t="shared" si="31"/>
        <v>1</v>
      </c>
    </row>
    <row r="511" spans="1:12" x14ac:dyDescent="0.25">
      <c r="A511" t="s">
        <v>622</v>
      </c>
      <c r="B511" t="s">
        <v>26</v>
      </c>
      <c r="C511">
        <v>6</v>
      </c>
      <c r="D511">
        <v>6</v>
      </c>
      <c r="G511">
        <v>12</v>
      </c>
      <c r="H511">
        <v>0</v>
      </c>
      <c r="I511">
        <f t="shared" si="28"/>
        <v>1</v>
      </c>
      <c r="J511">
        <f t="shared" si="29"/>
        <v>0</v>
      </c>
      <c r="K511">
        <f t="shared" si="30"/>
        <v>0</v>
      </c>
      <c r="L511">
        <f t="shared" si="31"/>
        <v>1</v>
      </c>
    </row>
    <row r="512" spans="1:12" x14ac:dyDescent="0.25">
      <c r="A512" t="s">
        <v>623</v>
      </c>
      <c r="B512" t="s">
        <v>26</v>
      </c>
      <c r="C512">
        <v>2</v>
      </c>
      <c r="D512">
        <v>8</v>
      </c>
      <c r="G512">
        <v>10</v>
      </c>
      <c r="H512">
        <v>0</v>
      </c>
      <c r="I512">
        <f t="shared" si="28"/>
        <v>1</v>
      </c>
      <c r="J512">
        <f t="shared" si="29"/>
        <v>0</v>
      </c>
      <c r="K512">
        <f t="shared" si="30"/>
        <v>0</v>
      </c>
      <c r="L512">
        <f t="shared" si="31"/>
        <v>1</v>
      </c>
    </row>
    <row r="513" spans="1:12" x14ac:dyDescent="0.25">
      <c r="A513" t="s">
        <v>624</v>
      </c>
      <c r="B513" t="s">
        <v>26</v>
      </c>
      <c r="C513">
        <v>12</v>
      </c>
      <c r="E513">
        <v>6</v>
      </c>
      <c r="G513">
        <v>12</v>
      </c>
      <c r="H513">
        <v>6</v>
      </c>
      <c r="I513">
        <f t="shared" si="28"/>
        <v>1</v>
      </c>
      <c r="J513">
        <f t="shared" si="29"/>
        <v>1</v>
      </c>
      <c r="K513">
        <f t="shared" si="30"/>
        <v>0</v>
      </c>
      <c r="L513">
        <f t="shared" si="31"/>
        <v>0</v>
      </c>
    </row>
    <row r="514" spans="1:12" x14ac:dyDescent="0.25">
      <c r="A514" t="s">
        <v>625</v>
      </c>
      <c r="B514" t="s">
        <v>26</v>
      </c>
      <c r="C514">
        <v>6</v>
      </c>
      <c r="D514">
        <v>9</v>
      </c>
      <c r="G514">
        <v>15</v>
      </c>
      <c r="H514">
        <v>0</v>
      </c>
      <c r="I514">
        <f t="shared" si="28"/>
        <v>1</v>
      </c>
      <c r="J514">
        <f t="shared" si="29"/>
        <v>0</v>
      </c>
      <c r="K514">
        <f t="shared" si="30"/>
        <v>0</v>
      </c>
      <c r="L514">
        <f t="shared" si="31"/>
        <v>1</v>
      </c>
    </row>
    <row r="515" spans="1:12" x14ac:dyDescent="0.25">
      <c r="A515" t="s">
        <v>626</v>
      </c>
      <c r="B515" t="s">
        <v>26</v>
      </c>
      <c r="C515">
        <v>6</v>
      </c>
      <c r="D515">
        <v>6</v>
      </c>
      <c r="G515">
        <v>12</v>
      </c>
      <c r="H515">
        <v>0</v>
      </c>
      <c r="I515">
        <f t="shared" ref="I515:I578" si="32">IF(C515&gt;0, 1, 0)</f>
        <v>1</v>
      </c>
      <c r="J515">
        <f t="shared" ref="J515:J578" si="33">IF(E515&gt;0, 1,0)</f>
        <v>0</v>
      </c>
      <c r="K515">
        <f t="shared" ref="K515:K578" si="34">IF(F515&gt;0, 1, 0)</f>
        <v>0</v>
      </c>
      <c r="L515">
        <f t="shared" ref="L515:L578" si="35">IF(D515&gt;0, 1, 0)</f>
        <v>1</v>
      </c>
    </row>
    <row r="516" spans="1:12" x14ac:dyDescent="0.25">
      <c r="A516" t="s">
        <v>627</v>
      </c>
      <c r="B516" t="s">
        <v>26</v>
      </c>
      <c r="C516">
        <v>6</v>
      </c>
      <c r="D516">
        <v>12</v>
      </c>
      <c r="G516">
        <v>18</v>
      </c>
      <c r="H516">
        <v>0</v>
      </c>
      <c r="I516">
        <f t="shared" si="32"/>
        <v>1</v>
      </c>
      <c r="J516">
        <f t="shared" si="33"/>
        <v>0</v>
      </c>
      <c r="K516">
        <f t="shared" si="34"/>
        <v>0</v>
      </c>
      <c r="L516">
        <f t="shared" si="35"/>
        <v>1</v>
      </c>
    </row>
    <row r="517" spans="1:12" x14ac:dyDescent="0.25">
      <c r="A517" t="s">
        <v>628</v>
      </c>
      <c r="B517" t="s">
        <v>26</v>
      </c>
      <c r="C517">
        <v>8</v>
      </c>
      <c r="D517">
        <v>0</v>
      </c>
      <c r="G517">
        <v>8</v>
      </c>
      <c r="H517">
        <v>0</v>
      </c>
      <c r="I517">
        <f t="shared" si="32"/>
        <v>1</v>
      </c>
      <c r="J517">
        <f t="shared" si="33"/>
        <v>0</v>
      </c>
      <c r="K517">
        <f t="shared" si="34"/>
        <v>0</v>
      </c>
      <c r="L517">
        <f t="shared" si="35"/>
        <v>0</v>
      </c>
    </row>
    <row r="518" spans="1:12" x14ac:dyDescent="0.25">
      <c r="A518" t="s">
        <v>629</v>
      </c>
      <c r="B518" t="s">
        <v>26</v>
      </c>
      <c r="C518">
        <v>26</v>
      </c>
      <c r="D518">
        <v>26</v>
      </c>
      <c r="G518">
        <v>52</v>
      </c>
      <c r="H518">
        <v>0</v>
      </c>
      <c r="I518">
        <f t="shared" si="32"/>
        <v>1</v>
      </c>
      <c r="J518">
        <f t="shared" si="33"/>
        <v>0</v>
      </c>
      <c r="K518">
        <f t="shared" si="34"/>
        <v>0</v>
      </c>
      <c r="L518">
        <f t="shared" si="35"/>
        <v>1</v>
      </c>
    </row>
    <row r="519" spans="1:12" x14ac:dyDescent="0.25">
      <c r="A519" t="s">
        <v>630</v>
      </c>
      <c r="B519" t="s">
        <v>26</v>
      </c>
      <c r="C519">
        <v>16</v>
      </c>
      <c r="D519">
        <v>7</v>
      </c>
      <c r="G519">
        <v>23</v>
      </c>
      <c r="H519">
        <v>0</v>
      </c>
      <c r="I519">
        <f t="shared" si="32"/>
        <v>1</v>
      </c>
      <c r="J519">
        <f t="shared" si="33"/>
        <v>0</v>
      </c>
      <c r="K519">
        <f t="shared" si="34"/>
        <v>0</v>
      </c>
      <c r="L519">
        <f t="shared" si="35"/>
        <v>1</v>
      </c>
    </row>
    <row r="520" spans="1:12" x14ac:dyDescent="0.25">
      <c r="A520" t="s">
        <v>631</v>
      </c>
      <c r="B520" t="s">
        <v>26</v>
      </c>
      <c r="C520">
        <v>12</v>
      </c>
      <c r="D520">
        <v>12</v>
      </c>
      <c r="G520">
        <v>24</v>
      </c>
      <c r="H520">
        <v>0</v>
      </c>
      <c r="I520">
        <f t="shared" si="32"/>
        <v>1</v>
      </c>
      <c r="J520">
        <f t="shared" si="33"/>
        <v>0</v>
      </c>
      <c r="K520">
        <f t="shared" si="34"/>
        <v>0</v>
      </c>
      <c r="L520">
        <f t="shared" si="35"/>
        <v>1</v>
      </c>
    </row>
    <row r="521" spans="1:12" x14ac:dyDescent="0.25">
      <c r="A521" t="s">
        <v>632</v>
      </c>
      <c r="B521" t="s">
        <v>26</v>
      </c>
      <c r="C521">
        <v>18</v>
      </c>
      <c r="D521">
        <v>20</v>
      </c>
      <c r="G521">
        <v>38</v>
      </c>
      <c r="H521">
        <v>0</v>
      </c>
      <c r="I521">
        <f t="shared" si="32"/>
        <v>1</v>
      </c>
      <c r="J521">
        <f t="shared" si="33"/>
        <v>0</v>
      </c>
      <c r="K521">
        <f t="shared" si="34"/>
        <v>0</v>
      </c>
      <c r="L521">
        <f t="shared" si="35"/>
        <v>1</v>
      </c>
    </row>
    <row r="522" spans="1:12" x14ac:dyDescent="0.25">
      <c r="A522" t="s">
        <v>633</v>
      </c>
      <c r="B522" t="s">
        <v>26</v>
      </c>
      <c r="C522">
        <v>6</v>
      </c>
      <c r="D522">
        <v>12</v>
      </c>
      <c r="G522">
        <v>18</v>
      </c>
      <c r="H522">
        <v>0</v>
      </c>
      <c r="I522">
        <f t="shared" si="32"/>
        <v>1</v>
      </c>
      <c r="J522">
        <f t="shared" si="33"/>
        <v>0</v>
      </c>
      <c r="K522">
        <f t="shared" si="34"/>
        <v>0</v>
      </c>
      <c r="L522">
        <f t="shared" si="35"/>
        <v>1</v>
      </c>
    </row>
    <row r="523" spans="1:12" x14ac:dyDescent="0.25">
      <c r="A523" t="s">
        <v>634</v>
      </c>
      <c r="B523" t="s">
        <v>26</v>
      </c>
      <c r="C523">
        <v>6</v>
      </c>
      <c r="D523">
        <v>6</v>
      </c>
      <c r="G523">
        <v>12</v>
      </c>
      <c r="H523">
        <v>0</v>
      </c>
      <c r="I523">
        <f t="shared" si="32"/>
        <v>1</v>
      </c>
      <c r="J523">
        <f t="shared" si="33"/>
        <v>0</v>
      </c>
      <c r="K523">
        <f t="shared" si="34"/>
        <v>0</v>
      </c>
      <c r="L523">
        <f t="shared" si="35"/>
        <v>1</v>
      </c>
    </row>
    <row r="524" spans="1:12" x14ac:dyDescent="0.25">
      <c r="A524" t="s">
        <v>635</v>
      </c>
      <c r="B524" t="s">
        <v>26</v>
      </c>
      <c r="C524">
        <v>10</v>
      </c>
      <c r="D524">
        <v>12</v>
      </c>
      <c r="G524">
        <v>22</v>
      </c>
      <c r="H524">
        <v>0</v>
      </c>
      <c r="I524">
        <f t="shared" si="32"/>
        <v>1</v>
      </c>
      <c r="J524">
        <f t="shared" si="33"/>
        <v>0</v>
      </c>
      <c r="K524">
        <f t="shared" si="34"/>
        <v>0</v>
      </c>
      <c r="L524">
        <f t="shared" si="35"/>
        <v>1</v>
      </c>
    </row>
    <row r="525" spans="1:12" x14ac:dyDescent="0.25">
      <c r="A525" t="s">
        <v>636</v>
      </c>
      <c r="B525" t="s">
        <v>26</v>
      </c>
      <c r="C525">
        <v>2</v>
      </c>
      <c r="D525">
        <v>26</v>
      </c>
      <c r="G525">
        <v>28</v>
      </c>
      <c r="H525">
        <v>0</v>
      </c>
      <c r="I525">
        <f t="shared" si="32"/>
        <v>1</v>
      </c>
      <c r="J525">
        <f t="shared" si="33"/>
        <v>0</v>
      </c>
      <c r="K525">
        <f t="shared" si="34"/>
        <v>0</v>
      </c>
      <c r="L525">
        <f t="shared" si="35"/>
        <v>1</v>
      </c>
    </row>
    <row r="526" spans="1:12" x14ac:dyDescent="0.25">
      <c r="A526" t="s">
        <v>637</v>
      </c>
      <c r="B526" t="s">
        <v>26</v>
      </c>
      <c r="C526">
        <v>12</v>
      </c>
      <c r="D526">
        <v>0</v>
      </c>
      <c r="G526">
        <v>12</v>
      </c>
      <c r="H526">
        <v>0</v>
      </c>
      <c r="I526">
        <f t="shared" si="32"/>
        <v>1</v>
      </c>
      <c r="J526">
        <f t="shared" si="33"/>
        <v>0</v>
      </c>
      <c r="K526">
        <f t="shared" si="34"/>
        <v>0</v>
      </c>
      <c r="L526">
        <f t="shared" si="35"/>
        <v>0</v>
      </c>
    </row>
    <row r="527" spans="1:12" x14ac:dyDescent="0.25">
      <c r="A527" t="s">
        <v>638</v>
      </c>
      <c r="B527" t="s">
        <v>26</v>
      </c>
      <c r="C527">
        <v>8</v>
      </c>
      <c r="D527">
        <v>0</v>
      </c>
      <c r="G527">
        <v>8</v>
      </c>
      <c r="H527">
        <v>0</v>
      </c>
      <c r="I527">
        <f t="shared" si="32"/>
        <v>1</v>
      </c>
      <c r="J527">
        <f t="shared" si="33"/>
        <v>0</v>
      </c>
      <c r="K527">
        <f t="shared" si="34"/>
        <v>0</v>
      </c>
      <c r="L527">
        <f t="shared" si="35"/>
        <v>0</v>
      </c>
    </row>
    <row r="528" spans="1:12" x14ac:dyDescent="0.25">
      <c r="A528" t="s">
        <v>639</v>
      </c>
      <c r="B528" t="s">
        <v>26</v>
      </c>
      <c r="C528">
        <v>6</v>
      </c>
      <c r="D528">
        <v>6</v>
      </c>
      <c r="G528">
        <v>12</v>
      </c>
      <c r="H528">
        <v>0</v>
      </c>
      <c r="I528">
        <f t="shared" si="32"/>
        <v>1</v>
      </c>
      <c r="J528">
        <f t="shared" si="33"/>
        <v>0</v>
      </c>
      <c r="K528">
        <f t="shared" si="34"/>
        <v>0</v>
      </c>
      <c r="L528">
        <f t="shared" si="35"/>
        <v>1</v>
      </c>
    </row>
    <row r="529" spans="1:12" x14ac:dyDescent="0.25">
      <c r="A529" t="s">
        <v>640</v>
      </c>
      <c r="B529" t="s">
        <v>26</v>
      </c>
      <c r="C529">
        <v>12</v>
      </c>
      <c r="D529">
        <v>0</v>
      </c>
      <c r="G529">
        <v>12</v>
      </c>
      <c r="H529">
        <v>0</v>
      </c>
      <c r="I529">
        <f t="shared" si="32"/>
        <v>1</v>
      </c>
      <c r="J529">
        <f t="shared" si="33"/>
        <v>0</v>
      </c>
      <c r="K529">
        <f t="shared" si="34"/>
        <v>0</v>
      </c>
      <c r="L529">
        <f t="shared" si="35"/>
        <v>0</v>
      </c>
    </row>
    <row r="530" spans="1:12" x14ac:dyDescent="0.25">
      <c r="A530" t="s">
        <v>641</v>
      </c>
      <c r="B530" t="s">
        <v>26</v>
      </c>
      <c r="C530">
        <v>8</v>
      </c>
      <c r="D530">
        <v>4</v>
      </c>
      <c r="G530">
        <v>12</v>
      </c>
      <c r="H530">
        <v>0</v>
      </c>
      <c r="I530">
        <f t="shared" si="32"/>
        <v>1</v>
      </c>
      <c r="J530">
        <f t="shared" si="33"/>
        <v>0</v>
      </c>
      <c r="K530">
        <f t="shared" si="34"/>
        <v>0</v>
      </c>
      <c r="L530">
        <f t="shared" si="35"/>
        <v>1</v>
      </c>
    </row>
    <row r="531" spans="1:12" x14ac:dyDescent="0.25">
      <c r="A531" t="s">
        <v>642</v>
      </c>
      <c r="B531" t="s">
        <v>26</v>
      </c>
      <c r="C531">
        <v>9</v>
      </c>
      <c r="D531">
        <v>6</v>
      </c>
      <c r="G531">
        <v>15</v>
      </c>
      <c r="H531">
        <v>0</v>
      </c>
      <c r="I531">
        <f t="shared" si="32"/>
        <v>1</v>
      </c>
      <c r="J531">
        <f t="shared" si="33"/>
        <v>0</v>
      </c>
      <c r="K531">
        <f t="shared" si="34"/>
        <v>0</v>
      </c>
      <c r="L531">
        <f t="shared" si="35"/>
        <v>1</v>
      </c>
    </row>
    <row r="532" spans="1:12" x14ac:dyDescent="0.25">
      <c r="A532" t="s">
        <v>643</v>
      </c>
      <c r="B532" t="s">
        <v>26</v>
      </c>
      <c r="C532">
        <v>5</v>
      </c>
      <c r="D532">
        <v>24</v>
      </c>
      <c r="G532">
        <v>29</v>
      </c>
      <c r="H532">
        <v>0</v>
      </c>
      <c r="I532">
        <f t="shared" si="32"/>
        <v>1</v>
      </c>
      <c r="J532">
        <f t="shared" si="33"/>
        <v>0</v>
      </c>
      <c r="K532">
        <f t="shared" si="34"/>
        <v>0</v>
      </c>
      <c r="L532">
        <f t="shared" si="35"/>
        <v>1</v>
      </c>
    </row>
    <row r="533" spans="1:12" x14ac:dyDescent="0.25">
      <c r="A533" t="s">
        <v>644</v>
      </c>
      <c r="B533" t="s">
        <v>26</v>
      </c>
      <c r="C533">
        <v>6</v>
      </c>
      <c r="D533">
        <v>12</v>
      </c>
      <c r="G533">
        <v>18</v>
      </c>
      <c r="H533">
        <v>0</v>
      </c>
      <c r="I533">
        <f t="shared" si="32"/>
        <v>1</v>
      </c>
      <c r="J533">
        <f t="shared" si="33"/>
        <v>0</v>
      </c>
      <c r="K533">
        <f t="shared" si="34"/>
        <v>0</v>
      </c>
      <c r="L533">
        <f t="shared" si="35"/>
        <v>1</v>
      </c>
    </row>
    <row r="534" spans="1:12" x14ac:dyDescent="0.25">
      <c r="A534" t="s">
        <v>645</v>
      </c>
      <c r="B534" t="s">
        <v>26</v>
      </c>
      <c r="C534">
        <v>6</v>
      </c>
      <c r="D534">
        <v>2</v>
      </c>
      <c r="G534">
        <v>8</v>
      </c>
      <c r="H534">
        <v>0</v>
      </c>
      <c r="I534">
        <f t="shared" si="32"/>
        <v>1</v>
      </c>
      <c r="J534">
        <f t="shared" si="33"/>
        <v>0</v>
      </c>
      <c r="K534">
        <f t="shared" si="34"/>
        <v>0</v>
      </c>
      <c r="L534">
        <f t="shared" si="35"/>
        <v>1</v>
      </c>
    </row>
    <row r="535" spans="1:12" x14ac:dyDescent="0.25">
      <c r="A535" t="s">
        <v>646</v>
      </c>
      <c r="B535" t="s">
        <v>26</v>
      </c>
      <c r="C535">
        <v>12</v>
      </c>
      <c r="D535">
        <v>12</v>
      </c>
      <c r="G535">
        <v>24</v>
      </c>
      <c r="H535">
        <v>0</v>
      </c>
      <c r="I535">
        <f t="shared" si="32"/>
        <v>1</v>
      </c>
      <c r="J535">
        <f t="shared" si="33"/>
        <v>0</v>
      </c>
      <c r="K535">
        <f t="shared" si="34"/>
        <v>0</v>
      </c>
      <c r="L535">
        <f t="shared" si="35"/>
        <v>1</v>
      </c>
    </row>
    <row r="536" spans="1:12" x14ac:dyDescent="0.25">
      <c r="A536" t="s">
        <v>647</v>
      </c>
      <c r="B536" t="s">
        <v>26</v>
      </c>
      <c r="C536">
        <v>12</v>
      </c>
      <c r="D536">
        <v>4</v>
      </c>
      <c r="G536">
        <v>16</v>
      </c>
      <c r="H536">
        <v>0</v>
      </c>
      <c r="I536">
        <f t="shared" si="32"/>
        <v>1</v>
      </c>
      <c r="J536">
        <f t="shared" si="33"/>
        <v>0</v>
      </c>
      <c r="K536">
        <f t="shared" si="34"/>
        <v>0</v>
      </c>
      <c r="L536">
        <f t="shared" si="35"/>
        <v>1</v>
      </c>
    </row>
    <row r="537" spans="1:12" x14ac:dyDescent="0.25">
      <c r="A537" t="s">
        <v>648</v>
      </c>
      <c r="B537" t="s">
        <v>26</v>
      </c>
      <c r="C537">
        <v>13</v>
      </c>
      <c r="D537">
        <v>9</v>
      </c>
      <c r="G537">
        <v>22</v>
      </c>
      <c r="H537">
        <v>0</v>
      </c>
      <c r="I537">
        <f t="shared" si="32"/>
        <v>1</v>
      </c>
      <c r="J537">
        <f t="shared" si="33"/>
        <v>0</v>
      </c>
      <c r="K537">
        <f t="shared" si="34"/>
        <v>0</v>
      </c>
      <c r="L537">
        <f t="shared" si="35"/>
        <v>1</v>
      </c>
    </row>
    <row r="538" spans="1:12" x14ac:dyDescent="0.25">
      <c r="A538" t="s">
        <v>649</v>
      </c>
      <c r="B538" t="s">
        <v>26</v>
      </c>
      <c r="C538">
        <v>12</v>
      </c>
      <c r="D538">
        <v>12</v>
      </c>
      <c r="G538">
        <v>24</v>
      </c>
      <c r="H538">
        <v>0</v>
      </c>
      <c r="I538">
        <f t="shared" si="32"/>
        <v>1</v>
      </c>
      <c r="J538">
        <f t="shared" si="33"/>
        <v>0</v>
      </c>
      <c r="K538">
        <f t="shared" si="34"/>
        <v>0</v>
      </c>
      <c r="L538">
        <f t="shared" si="35"/>
        <v>1</v>
      </c>
    </row>
    <row r="539" spans="1:12" x14ac:dyDescent="0.25">
      <c r="A539" t="s">
        <v>650</v>
      </c>
      <c r="B539" t="s">
        <v>26</v>
      </c>
      <c r="C539">
        <v>6</v>
      </c>
      <c r="D539">
        <v>3</v>
      </c>
      <c r="G539">
        <v>9</v>
      </c>
      <c r="H539">
        <v>0</v>
      </c>
      <c r="I539">
        <f t="shared" si="32"/>
        <v>1</v>
      </c>
      <c r="J539">
        <f t="shared" si="33"/>
        <v>0</v>
      </c>
      <c r="K539">
        <f t="shared" si="34"/>
        <v>0</v>
      </c>
      <c r="L539">
        <f t="shared" si="35"/>
        <v>1</v>
      </c>
    </row>
    <row r="540" spans="1:12" x14ac:dyDescent="0.25">
      <c r="A540" t="s">
        <v>651</v>
      </c>
      <c r="B540" t="s">
        <v>26</v>
      </c>
      <c r="C540">
        <v>52</v>
      </c>
      <c r="D540">
        <v>0</v>
      </c>
      <c r="G540">
        <v>52</v>
      </c>
      <c r="H540">
        <v>0</v>
      </c>
      <c r="I540">
        <f t="shared" si="32"/>
        <v>1</v>
      </c>
      <c r="J540">
        <f t="shared" si="33"/>
        <v>0</v>
      </c>
      <c r="K540">
        <f t="shared" si="34"/>
        <v>0</v>
      </c>
      <c r="L540">
        <f t="shared" si="35"/>
        <v>0</v>
      </c>
    </row>
    <row r="541" spans="1:12" x14ac:dyDescent="0.25">
      <c r="A541" t="s">
        <v>652</v>
      </c>
      <c r="B541" t="s">
        <v>26</v>
      </c>
      <c r="C541">
        <v>12</v>
      </c>
      <c r="D541">
        <v>12</v>
      </c>
      <c r="G541">
        <v>24</v>
      </c>
      <c r="H541">
        <v>0</v>
      </c>
      <c r="I541">
        <f t="shared" si="32"/>
        <v>1</v>
      </c>
      <c r="J541">
        <f t="shared" si="33"/>
        <v>0</v>
      </c>
      <c r="K541">
        <f t="shared" si="34"/>
        <v>0</v>
      </c>
      <c r="L541">
        <f t="shared" si="35"/>
        <v>1</v>
      </c>
    </row>
    <row r="542" spans="1:12" x14ac:dyDescent="0.25">
      <c r="A542" t="s">
        <v>653</v>
      </c>
      <c r="B542" t="s">
        <v>26</v>
      </c>
      <c r="C542">
        <v>12</v>
      </c>
      <c r="D542">
        <v>24</v>
      </c>
      <c r="G542">
        <v>36</v>
      </c>
      <c r="H542">
        <v>0</v>
      </c>
      <c r="I542">
        <f t="shared" si="32"/>
        <v>1</v>
      </c>
      <c r="J542">
        <f t="shared" si="33"/>
        <v>0</v>
      </c>
      <c r="K542">
        <f t="shared" si="34"/>
        <v>0</v>
      </c>
      <c r="L542">
        <f t="shared" si="35"/>
        <v>1</v>
      </c>
    </row>
    <row r="543" spans="1:12" x14ac:dyDescent="0.25">
      <c r="A543" t="s">
        <v>654</v>
      </c>
      <c r="B543" t="s">
        <v>26</v>
      </c>
      <c r="C543">
        <v>12</v>
      </c>
      <c r="D543">
        <v>12</v>
      </c>
      <c r="G543">
        <v>24</v>
      </c>
      <c r="H543">
        <v>0</v>
      </c>
      <c r="I543">
        <f t="shared" si="32"/>
        <v>1</v>
      </c>
      <c r="J543">
        <f t="shared" si="33"/>
        <v>0</v>
      </c>
      <c r="K543">
        <f t="shared" si="34"/>
        <v>0</v>
      </c>
      <c r="L543">
        <f t="shared" si="35"/>
        <v>1</v>
      </c>
    </row>
    <row r="544" spans="1:12" x14ac:dyDescent="0.25">
      <c r="A544" t="s">
        <v>655</v>
      </c>
      <c r="B544" t="s">
        <v>26</v>
      </c>
      <c r="C544">
        <v>12</v>
      </c>
      <c r="D544">
        <v>0</v>
      </c>
      <c r="G544">
        <v>12</v>
      </c>
      <c r="H544">
        <v>0</v>
      </c>
      <c r="I544">
        <f t="shared" si="32"/>
        <v>1</v>
      </c>
      <c r="J544">
        <f t="shared" si="33"/>
        <v>0</v>
      </c>
      <c r="K544">
        <f t="shared" si="34"/>
        <v>0</v>
      </c>
      <c r="L544">
        <f t="shared" si="35"/>
        <v>0</v>
      </c>
    </row>
    <row r="545" spans="1:12" x14ac:dyDescent="0.25">
      <c r="A545" t="s">
        <v>656</v>
      </c>
      <c r="B545" t="s">
        <v>26</v>
      </c>
      <c r="C545">
        <v>12</v>
      </c>
      <c r="D545">
        <v>12</v>
      </c>
      <c r="G545">
        <v>24</v>
      </c>
      <c r="H545">
        <v>0</v>
      </c>
      <c r="I545">
        <f t="shared" si="32"/>
        <v>1</v>
      </c>
      <c r="J545">
        <f t="shared" si="33"/>
        <v>0</v>
      </c>
      <c r="K545">
        <f t="shared" si="34"/>
        <v>0</v>
      </c>
      <c r="L545">
        <f t="shared" si="35"/>
        <v>1</v>
      </c>
    </row>
    <row r="546" spans="1:12" x14ac:dyDescent="0.25">
      <c r="A546" t="s">
        <v>657</v>
      </c>
      <c r="B546" t="s">
        <v>26</v>
      </c>
      <c r="C546">
        <v>6</v>
      </c>
      <c r="D546">
        <v>6</v>
      </c>
      <c r="G546">
        <v>12</v>
      </c>
      <c r="H546">
        <v>0</v>
      </c>
      <c r="I546">
        <f t="shared" si="32"/>
        <v>1</v>
      </c>
      <c r="J546">
        <f t="shared" si="33"/>
        <v>0</v>
      </c>
      <c r="K546">
        <f t="shared" si="34"/>
        <v>0</v>
      </c>
      <c r="L546">
        <f t="shared" si="35"/>
        <v>1</v>
      </c>
    </row>
    <row r="547" spans="1:12" x14ac:dyDescent="0.25">
      <c r="A547" t="s">
        <v>658</v>
      </c>
      <c r="B547" t="s">
        <v>26</v>
      </c>
      <c r="C547">
        <v>4</v>
      </c>
      <c r="E547">
        <v>0</v>
      </c>
      <c r="G547">
        <v>4</v>
      </c>
      <c r="H547">
        <v>0</v>
      </c>
      <c r="I547">
        <f t="shared" si="32"/>
        <v>1</v>
      </c>
      <c r="J547">
        <f t="shared" si="33"/>
        <v>0</v>
      </c>
      <c r="K547">
        <f t="shared" si="34"/>
        <v>0</v>
      </c>
      <c r="L547">
        <f t="shared" si="35"/>
        <v>0</v>
      </c>
    </row>
    <row r="548" spans="1:12" x14ac:dyDescent="0.25">
      <c r="A548" t="s">
        <v>659</v>
      </c>
      <c r="B548" t="s">
        <v>26</v>
      </c>
      <c r="C548">
        <v>4</v>
      </c>
      <c r="D548">
        <v>4</v>
      </c>
      <c r="G548">
        <v>8</v>
      </c>
      <c r="H548">
        <v>0</v>
      </c>
      <c r="I548">
        <f t="shared" si="32"/>
        <v>1</v>
      </c>
      <c r="J548">
        <f t="shared" si="33"/>
        <v>0</v>
      </c>
      <c r="K548">
        <f t="shared" si="34"/>
        <v>0</v>
      </c>
      <c r="L548">
        <f t="shared" si="35"/>
        <v>1</v>
      </c>
    </row>
    <row r="549" spans="1:12" x14ac:dyDescent="0.25">
      <c r="A549" t="s">
        <v>660</v>
      </c>
      <c r="B549" t="s">
        <v>26</v>
      </c>
      <c r="C549">
        <v>6</v>
      </c>
      <c r="D549">
        <v>6</v>
      </c>
      <c r="G549">
        <v>12</v>
      </c>
      <c r="H549">
        <v>0</v>
      </c>
      <c r="I549">
        <f t="shared" si="32"/>
        <v>1</v>
      </c>
      <c r="J549">
        <f t="shared" si="33"/>
        <v>0</v>
      </c>
      <c r="K549">
        <f t="shared" si="34"/>
        <v>0</v>
      </c>
      <c r="L549">
        <f t="shared" si="35"/>
        <v>1</v>
      </c>
    </row>
    <row r="550" spans="1:12" x14ac:dyDescent="0.25">
      <c r="A550" t="s">
        <v>661</v>
      </c>
      <c r="B550" t="s">
        <v>26</v>
      </c>
      <c r="C550">
        <v>4</v>
      </c>
      <c r="D550">
        <v>0</v>
      </c>
      <c r="G550">
        <v>4</v>
      </c>
      <c r="H550">
        <v>0</v>
      </c>
      <c r="I550">
        <f t="shared" si="32"/>
        <v>1</v>
      </c>
      <c r="J550">
        <f t="shared" si="33"/>
        <v>0</v>
      </c>
      <c r="K550">
        <f t="shared" si="34"/>
        <v>0</v>
      </c>
      <c r="L550">
        <f t="shared" si="35"/>
        <v>0</v>
      </c>
    </row>
    <row r="551" spans="1:12" x14ac:dyDescent="0.25">
      <c r="A551" t="s">
        <v>662</v>
      </c>
      <c r="B551" t="s">
        <v>139</v>
      </c>
      <c r="C551">
        <v>2</v>
      </c>
      <c r="D551">
        <v>4</v>
      </c>
      <c r="G551">
        <v>6</v>
      </c>
      <c r="H551">
        <v>0</v>
      </c>
      <c r="I551">
        <f t="shared" si="32"/>
        <v>1</v>
      </c>
      <c r="J551">
        <f t="shared" si="33"/>
        <v>0</v>
      </c>
      <c r="K551">
        <f t="shared" si="34"/>
        <v>0</v>
      </c>
      <c r="L551">
        <f t="shared" si="35"/>
        <v>1</v>
      </c>
    </row>
    <row r="552" spans="1:12" x14ac:dyDescent="0.25">
      <c r="A552" t="s">
        <v>663</v>
      </c>
      <c r="B552" t="s">
        <v>139</v>
      </c>
      <c r="C552">
        <v>10</v>
      </c>
      <c r="D552">
        <v>12</v>
      </c>
      <c r="G552">
        <v>22</v>
      </c>
      <c r="H552">
        <v>0</v>
      </c>
      <c r="I552">
        <f t="shared" si="32"/>
        <v>1</v>
      </c>
      <c r="J552">
        <f t="shared" si="33"/>
        <v>0</v>
      </c>
      <c r="K552">
        <f t="shared" si="34"/>
        <v>0</v>
      </c>
      <c r="L552">
        <f t="shared" si="35"/>
        <v>1</v>
      </c>
    </row>
    <row r="553" spans="1:12" x14ac:dyDescent="0.25">
      <c r="A553" t="s">
        <v>664</v>
      </c>
      <c r="B553" t="s">
        <v>139</v>
      </c>
      <c r="C553">
        <v>12</v>
      </c>
      <c r="D553">
        <v>0</v>
      </c>
      <c r="G553">
        <v>12</v>
      </c>
      <c r="H553">
        <v>0</v>
      </c>
      <c r="I553">
        <f t="shared" si="32"/>
        <v>1</v>
      </c>
      <c r="J553">
        <f t="shared" si="33"/>
        <v>0</v>
      </c>
      <c r="K553">
        <f t="shared" si="34"/>
        <v>0</v>
      </c>
      <c r="L553">
        <f t="shared" si="35"/>
        <v>0</v>
      </c>
    </row>
    <row r="554" spans="1:12" x14ac:dyDescent="0.25">
      <c r="A554" t="s">
        <v>665</v>
      </c>
      <c r="B554" t="s">
        <v>139</v>
      </c>
      <c r="C554">
        <v>32</v>
      </c>
      <c r="D554">
        <v>46</v>
      </c>
      <c r="G554">
        <v>78</v>
      </c>
      <c r="H554">
        <v>0</v>
      </c>
      <c r="I554">
        <f t="shared" si="32"/>
        <v>1</v>
      </c>
      <c r="J554">
        <f t="shared" si="33"/>
        <v>0</v>
      </c>
      <c r="K554">
        <f t="shared" si="34"/>
        <v>0</v>
      </c>
      <c r="L554">
        <f t="shared" si="35"/>
        <v>1</v>
      </c>
    </row>
    <row r="555" spans="1:12" x14ac:dyDescent="0.25">
      <c r="A555" t="s">
        <v>666</v>
      </c>
      <c r="B555" t="s">
        <v>139</v>
      </c>
      <c r="C555">
        <v>6</v>
      </c>
      <c r="D555">
        <v>0</v>
      </c>
      <c r="G555">
        <v>6</v>
      </c>
      <c r="H555">
        <v>0</v>
      </c>
      <c r="I555">
        <f t="shared" si="32"/>
        <v>1</v>
      </c>
      <c r="J555">
        <f t="shared" si="33"/>
        <v>0</v>
      </c>
      <c r="K555">
        <f t="shared" si="34"/>
        <v>0</v>
      </c>
      <c r="L555">
        <f t="shared" si="35"/>
        <v>0</v>
      </c>
    </row>
    <row r="556" spans="1:12" x14ac:dyDescent="0.25">
      <c r="A556" t="s">
        <v>667</v>
      </c>
      <c r="B556" t="s">
        <v>139</v>
      </c>
      <c r="C556">
        <v>6</v>
      </c>
      <c r="D556">
        <v>0</v>
      </c>
      <c r="G556">
        <v>6</v>
      </c>
      <c r="H556">
        <v>0</v>
      </c>
      <c r="I556">
        <f t="shared" si="32"/>
        <v>1</v>
      </c>
      <c r="J556">
        <f t="shared" si="33"/>
        <v>0</v>
      </c>
      <c r="K556">
        <f t="shared" si="34"/>
        <v>0</v>
      </c>
      <c r="L556">
        <f t="shared" si="35"/>
        <v>0</v>
      </c>
    </row>
    <row r="557" spans="1:12" x14ac:dyDescent="0.25">
      <c r="A557" t="s">
        <v>668</v>
      </c>
      <c r="B557" t="s">
        <v>139</v>
      </c>
      <c r="C557">
        <v>9</v>
      </c>
      <c r="D557">
        <v>6</v>
      </c>
      <c r="G557">
        <v>15</v>
      </c>
      <c r="H557">
        <v>0</v>
      </c>
      <c r="I557">
        <f t="shared" si="32"/>
        <v>1</v>
      </c>
      <c r="J557">
        <f t="shared" si="33"/>
        <v>0</v>
      </c>
      <c r="K557">
        <f t="shared" si="34"/>
        <v>0</v>
      </c>
      <c r="L557">
        <f t="shared" si="35"/>
        <v>1</v>
      </c>
    </row>
    <row r="558" spans="1:12" x14ac:dyDescent="0.25">
      <c r="A558" t="s">
        <v>669</v>
      </c>
      <c r="B558" t="s">
        <v>139</v>
      </c>
      <c r="C558">
        <v>8</v>
      </c>
      <c r="D558">
        <v>8</v>
      </c>
      <c r="G558">
        <v>16</v>
      </c>
      <c r="H558">
        <v>0</v>
      </c>
      <c r="I558">
        <f t="shared" si="32"/>
        <v>1</v>
      </c>
      <c r="J558">
        <f t="shared" si="33"/>
        <v>0</v>
      </c>
      <c r="K558">
        <f t="shared" si="34"/>
        <v>0</v>
      </c>
      <c r="L558">
        <f t="shared" si="35"/>
        <v>1</v>
      </c>
    </row>
    <row r="559" spans="1:12" x14ac:dyDescent="0.25">
      <c r="A559" t="s">
        <v>670</v>
      </c>
      <c r="B559" t="s">
        <v>139</v>
      </c>
      <c r="C559">
        <v>12</v>
      </c>
      <c r="D559">
        <v>0</v>
      </c>
      <c r="G559">
        <v>12</v>
      </c>
      <c r="H559">
        <v>0</v>
      </c>
      <c r="I559">
        <f t="shared" si="32"/>
        <v>1</v>
      </c>
      <c r="J559">
        <f t="shared" si="33"/>
        <v>0</v>
      </c>
      <c r="K559">
        <f t="shared" si="34"/>
        <v>0</v>
      </c>
      <c r="L559">
        <f t="shared" si="35"/>
        <v>0</v>
      </c>
    </row>
    <row r="560" spans="1:12" x14ac:dyDescent="0.25">
      <c r="A560" t="s">
        <v>671</v>
      </c>
      <c r="B560" t="s">
        <v>139</v>
      </c>
      <c r="C560">
        <v>12</v>
      </c>
      <c r="D560">
        <v>4</v>
      </c>
      <c r="G560">
        <v>16</v>
      </c>
      <c r="H560">
        <v>0</v>
      </c>
      <c r="I560">
        <f t="shared" si="32"/>
        <v>1</v>
      </c>
      <c r="J560">
        <f t="shared" si="33"/>
        <v>0</v>
      </c>
      <c r="K560">
        <f t="shared" si="34"/>
        <v>0</v>
      </c>
      <c r="L560">
        <f t="shared" si="35"/>
        <v>1</v>
      </c>
    </row>
    <row r="561" spans="1:12" x14ac:dyDescent="0.25">
      <c r="A561" t="s">
        <v>672</v>
      </c>
      <c r="B561" t="s">
        <v>673</v>
      </c>
      <c r="C561">
        <v>12</v>
      </c>
      <c r="D561">
        <v>12</v>
      </c>
      <c r="G561">
        <v>24</v>
      </c>
      <c r="H561">
        <v>0</v>
      </c>
      <c r="I561">
        <f t="shared" si="32"/>
        <v>1</v>
      </c>
      <c r="J561">
        <f t="shared" si="33"/>
        <v>0</v>
      </c>
      <c r="K561">
        <f t="shared" si="34"/>
        <v>0</v>
      </c>
      <c r="L561">
        <f t="shared" si="35"/>
        <v>1</v>
      </c>
    </row>
    <row r="562" spans="1:12" x14ac:dyDescent="0.25">
      <c r="A562" t="s">
        <v>674</v>
      </c>
      <c r="B562" t="s">
        <v>673</v>
      </c>
      <c r="C562">
        <v>16</v>
      </c>
      <c r="D562">
        <v>4</v>
      </c>
      <c r="G562">
        <v>20</v>
      </c>
      <c r="H562">
        <v>0</v>
      </c>
      <c r="I562">
        <f t="shared" si="32"/>
        <v>1</v>
      </c>
      <c r="J562">
        <f t="shared" si="33"/>
        <v>0</v>
      </c>
      <c r="K562">
        <f t="shared" si="34"/>
        <v>0</v>
      </c>
      <c r="L562">
        <f t="shared" si="35"/>
        <v>1</v>
      </c>
    </row>
    <row r="563" spans="1:12" x14ac:dyDescent="0.25">
      <c r="A563" t="s">
        <v>675</v>
      </c>
      <c r="B563" t="s">
        <v>673</v>
      </c>
      <c r="C563">
        <v>8</v>
      </c>
      <c r="D563">
        <v>52</v>
      </c>
      <c r="G563">
        <v>60</v>
      </c>
      <c r="H563">
        <v>0</v>
      </c>
      <c r="I563">
        <f t="shared" si="32"/>
        <v>1</v>
      </c>
      <c r="J563">
        <f t="shared" si="33"/>
        <v>0</v>
      </c>
      <c r="K563">
        <f t="shared" si="34"/>
        <v>0</v>
      </c>
      <c r="L563">
        <f t="shared" si="35"/>
        <v>1</v>
      </c>
    </row>
    <row r="564" spans="1:12" x14ac:dyDescent="0.25">
      <c r="A564" t="s">
        <v>676</v>
      </c>
      <c r="B564" t="s">
        <v>673</v>
      </c>
      <c r="C564">
        <v>12</v>
      </c>
      <c r="D564">
        <v>12</v>
      </c>
      <c r="G564">
        <v>24</v>
      </c>
      <c r="H564">
        <v>0</v>
      </c>
      <c r="I564">
        <f t="shared" si="32"/>
        <v>1</v>
      </c>
      <c r="J564">
        <f t="shared" si="33"/>
        <v>0</v>
      </c>
      <c r="K564">
        <f t="shared" si="34"/>
        <v>0</v>
      </c>
      <c r="L564">
        <f t="shared" si="35"/>
        <v>1</v>
      </c>
    </row>
    <row r="565" spans="1:12" x14ac:dyDescent="0.25">
      <c r="A565" t="s">
        <v>677</v>
      </c>
      <c r="B565" t="s">
        <v>673</v>
      </c>
      <c r="C565">
        <v>4</v>
      </c>
      <c r="D565">
        <v>36</v>
      </c>
      <c r="G565">
        <v>40</v>
      </c>
      <c r="H565">
        <v>0</v>
      </c>
      <c r="I565">
        <f t="shared" si="32"/>
        <v>1</v>
      </c>
      <c r="J565">
        <f t="shared" si="33"/>
        <v>0</v>
      </c>
      <c r="K565">
        <f t="shared" si="34"/>
        <v>0</v>
      </c>
      <c r="L565">
        <f t="shared" si="35"/>
        <v>1</v>
      </c>
    </row>
    <row r="566" spans="1:12" x14ac:dyDescent="0.25">
      <c r="A566" t="s">
        <v>678</v>
      </c>
      <c r="B566" t="s">
        <v>673</v>
      </c>
      <c r="C566">
        <v>2</v>
      </c>
      <c r="D566">
        <v>12</v>
      </c>
      <c r="G566">
        <v>14</v>
      </c>
      <c r="H566">
        <v>0</v>
      </c>
      <c r="I566">
        <f t="shared" si="32"/>
        <v>1</v>
      </c>
      <c r="J566">
        <f t="shared" si="33"/>
        <v>0</v>
      </c>
      <c r="K566">
        <f t="shared" si="34"/>
        <v>0</v>
      </c>
      <c r="L566">
        <f t="shared" si="35"/>
        <v>1</v>
      </c>
    </row>
    <row r="567" spans="1:12" x14ac:dyDescent="0.25">
      <c r="A567" t="s">
        <v>679</v>
      </c>
      <c r="B567" t="s">
        <v>673</v>
      </c>
      <c r="C567">
        <v>8</v>
      </c>
      <c r="D567">
        <v>8</v>
      </c>
      <c r="G567">
        <v>16</v>
      </c>
      <c r="H567">
        <v>0</v>
      </c>
      <c r="I567">
        <f t="shared" si="32"/>
        <v>1</v>
      </c>
      <c r="J567">
        <f t="shared" si="33"/>
        <v>0</v>
      </c>
      <c r="K567">
        <f t="shared" si="34"/>
        <v>0</v>
      </c>
      <c r="L567">
        <f t="shared" si="35"/>
        <v>1</v>
      </c>
    </row>
    <row r="568" spans="1:12" x14ac:dyDescent="0.25">
      <c r="A568" t="s">
        <v>680</v>
      </c>
      <c r="B568" t="s">
        <v>681</v>
      </c>
      <c r="C568">
        <v>6</v>
      </c>
      <c r="D568">
        <v>0</v>
      </c>
      <c r="G568">
        <v>6</v>
      </c>
      <c r="H568">
        <v>0</v>
      </c>
      <c r="I568">
        <f t="shared" si="32"/>
        <v>1</v>
      </c>
      <c r="J568">
        <f t="shared" si="33"/>
        <v>0</v>
      </c>
      <c r="K568">
        <f t="shared" si="34"/>
        <v>0</v>
      </c>
      <c r="L568">
        <f t="shared" si="35"/>
        <v>0</v>
      </c>
    </row>
    <row r="569" spans="1:12" x14ac:dyDescent="0.25">
      <c r="A569" t="s">
        <v>682</v>
      </c>
      <c r="B569" t="s">
        <v>681</v>
      </c>
      <c r="C569">
        <v>26</v>
      </c>
      <c r="D569">
        <v>0</v>
      </c>
      <c r="G569">
        <v>26</v>
      </c>
      <c r="H569">
        <v>0</v>
      </c>
      <c r="I569">
        <f t="shared" si="32"/>
        <v>1</v>
      </c>
      <c r="J569">
        <f t="shared" si="33"/>
        <v>0</v>
      </c>
      <c r="K569">
        <f t="shared" si="34"/>
        <v>0</v>
      </c>
      <c r="L569">
        <f t="shared" si="35"/>
        <v>0</v>
      </c>
    </row>
    <row r="570" spans="1:12" x14ac:dyDescent="0.25">
      <c r="A570" t="s">
        <v>683</v>
      </c>
      <c r="B570" t="s">
        <v>681</v>
      </c>
      <c r="C570">
        <v>8.5</v>
      </c>
      <c r="D570">
        <v>8</v>
      </c>
      <c r="G570">
        <v>16.5</v>
      </c>
      <c r="H570">
        <v>0</v>
      </c>
      <c r="I570">
        <f t="shared" si="32"/>
        <v>1</v>
      </c>
      <c r="J570">
        <f t="shared" si="33"/>
        <v>0</v>
      </c>
      <c r="K570">
        <f t="shared" si="34"/>
        <v>0</v>
      </c>
      <c r="L570">
        <f t="shared" si="35"/>
        <v>1</v>
      </c>
    </row>
    <row r="571" spans="1:12" x14ac:dyDescent="0.25">
      <c r="A571" t="s">
        <v>684</v>
      </c>
      <c r="B571" t="s">
        <v>681</v>
      </c>
      <c r="C571">
        <v>3</v>
      </c>
      <c r="D571">
        <v>12</v>
      </c>
      <c r="G571">
        <v>15</v>
      </c>
      <c r="H571">
        <v>0</v>
      </c>
      <c r="I571">
        <f t="shared" si="32"/>
        <v>1</v>
      </c>
      <c r="J571">
        <f t="shared" si="33"/>
        <v>0</v>
      </c>
      <c r="K571">
        <f t="shared" si="34"/>
        <v>0</v>
      </c>
      <c r="L571">
        <f t="shared" si="35"/>
        <v>1</v>
      </c>
    </row>
    <row r="572" spans="1:12" x14ac:dyDescent="0.25">
      <c r="A572" t="s">
        <v>685</v>
      </c>
      <c r="B572" t="s">
        <v>681</v>
      </c>
      <c r="C572">
        <v>26</v>
      </c>
      <c r="D572">
        <v>0</v>
      </c>
      <c r="G572">
        <v>26</v>
      </c>
      <c r="H572">
        <v>0</v>
      </c>
      <c r="I572">
        <f t="shared" si="32"/>
        <v>1</v>
      </c>
      <c r="J572">
        <f t="shared" si="33"/>
        <v>0</v>
      </c>
      <c r="K572">
        <f t="shared" si="34"/>
        <v>0</v>
      </c>
      <c r="L572">
        <f t="shared" si="35"/>
        <v>0</v>
      </c>
    </row>
    <row r="573" spans="1:12" x14ac:dyDescent="0.25">
      <c r="A573" t="s">
        <v>686</v>
      </c>
      <c r="B573" t="s">
        <v>681</v>
      </c>
      <c r="C573">
        <v>8</v>
      </c>
      <c r="D573">
        <v>0</v>
      </c>
      <c r="G573">
        <v>8</v>
      </c>
      <c r="H573">
        <v>0</v>
      </c>
      <c r="I573">
        <f t="shared" si="32"/>
        <v>1</v>
      </c>
      <c r="J573">
        <f t="shared" si="33"/>
        <v>0</v>
      </c>
      <c r="K573">
        <f t="shared" si="34"/>
        <v>0</v>
      </c>
      <c r="L573">
        <f t="shared" si="35"/>
        <v>0</v>
      </c>
    </row>
    <row r="574" spans="1:12" x14ac:dyDescent="0.25">
      <c r="A574" t="s">
        <v>687</v>
      </c>
      <c r="B574" t="s">
        <v>688</v>
      </c>
      <c r="C574">
        <v>6</v>
      </c>
      <c r="D574">
        <v>0</v>
      </c>
      <c r="G574">
        <v>6</v>
      </c>
      <c r="H574">
        <v>0</v>
      </c>
      <c r="I574">
        <f t="shared" si="32"/>
        <v>1</v>
      </c>
      <c r="J574">
        <f t="shared" si="33"/>
        <v>0</v>
      </c>
      <c r="K574">
        <f t="shared" si="34"/>
        <v>0</v>
      </c>
      <c r="L574">
        <f t="shared" si="35"/>
        <v>0</v>
      </c>
    </row>
    <row r="575" spans="1:12" x14ac:dyDescent="0.25">
      <c r="A575" t="s">
        <v>689</v>
      </c>
      <c r="B575" t="s">
        <v>690</v>
      </c>
      <c r="C575">
        <v>4</v>
      </c>
      <c r="D575">
        <v>12</v>
      </c>
      <c r="G575">
        <v>16</v>
      </c>
      <c r="H575">
        <v>0</v>
      </c>
      <c r="I575">
        <f t="shared" si="32"/>
        <v>1</v>
      </c>
      <c r="J575">
        <f t="shared" si="33"/>
        <v>0</v>
      </c>
      <c r="K575">
        <f t="shared" si="34"/>
        <v>0</v>
      </c>
      <c r="L575">
        <f t="shared" si="35"/>
        <v>1</v>
      </c>
    </row>
    <row r="576" spans="1:12" x14ac:dyDescent="0.25">
      <c r="A576" t="s">
        <v>691</v>
      </c>
      <c r="B576" t="s">
        <v>692</v>
      </c>
      <c r="C576">
        <v>42</v>
      </c>
      <c r="D576">
        <v>14</v>
      </c>
      <c r="G576">
        <v>56</v>
      </c>
      <c r="H576">
        <v>0</v>
      </c>
      <c r="I576">
        <f t="shared" si="32"/>
        <v>1</v>
      </c>
      <c r="J576">
        <f t="shared" si="33"/>
        <v>0</v>
      </c>
      <c r="K576">
        <f t="shared" si="34"/>
        <v>0</v>
      </c>
      <c r="L576">
        <f t="shared" si="35"/>
        <v>1</v>
      </c>
    </row>
    <row r="577" spans="1:12" x14ac:dyDescent="0.25">
      <c r="A577" t="s">
        <v>693</v>
      </c>
      <c r="B577" t="s">
        <v>692</v>
      </c>
      <c r="C577">
        <v>6</v>
      </c>
      <c r="D577">
        <v>12</v>
      </c>
      <c r="G577">
        <v>18</v>
      </c>
      <c r="H577">
        <v>0</v>
      </c>
      <c r="I577">
        <f t="shared" si="32"/>
        <v>1</v>
      </c>
      <c r="J577">
        <f t="shared" si="33"/>
        <v>0</v>
      </c>
      <c r="K577">
        <f t="shared" si="34"/>
        <v>0</v>
      </c>
      <c r="L577">
        <f t="shared" si="35"/>
        <v>1</v>
      </c>
    </row>
    <row r="578" spans="1:12" x14ac:dyDescent="0.25">
      <c r="A578" t="s">
        <v>694</v>
      </c>
      <c r="B578" t="s">
        <v>692</v>
      </c>
      <c r="C578">
        <v>12</v>
      </c>
      <c r="E578">
        <v>12</v>
      </c>
      <c r="G578">
        <v>12</v>
      </c>
      <c r="H578">
        <v>12</v>
      </c>
      <c r="I578">
        <f t="shared" si="32"/>
        <v>1</v>
      </c>
      <c r="J578">
        <f t="shared" si="33"/>
        <v>1</v>
      </c>
      <c r="K578">
        <f t="shared" si="34"/>
        <v>0</v>
      </c>
      <c r="L578">
        <f t="shared" si="35"/>
        <v>0</v>
      </c>
    </row>
    <row r="579" spans="1:12" x14ac:dyDescent="0.25">
      <c r="A579" t="s">
        <v>695</v>
      </c>
      <c r="B579" t="s">
        <v>692</v>
      </c>
      <c r="C579">
        <v>9</v>
      </c>
      <c r="D579">
        <v>3</v>
      </c>
      <c r="G579">
        <v>12</v>
      </c>
      <c r="H579">
        <v>0</v>
      </c>
      <c r="I579">
        <f t="shared" ref="I579:I642" si="36">IF(C579&gt;0, 1, 0)</f>
        <v>1</v>
      </c>
      <c r="J579">
        <f t="shared" ref="J579:J642" si="37">IF(E579&gt;0, 1,0)</f>
        <v>0</v>
      </c>
      <c r="K579">
        <f t="shared" ref="K579:K642" si="38">IF(F579&gt;0, 1, 0)</f>
        <v>0</v>
      </c>
      <c r="L579">
        <f t="shared" ref="L579:L642" si="39">IF(D579&gt;0, 1, 0)</f>
        <v>1</v>
      </c>
    </row>
    <row r="580" spans="1:12" x14ac:dyDescent="0.25">
      <c r="A580" t="s">
        <v>696</v>
      </c>
      <c r="B580" t="s">
        <v>692</v>
      </c>
      <c r="C580">
        <v>12</v>
      </c>
      <c r="D580">
        <v>0</v>
      </c>
      <c r="G580">
        <v>12</v>
      </c>
      <c r="H580">
        <v>0</v>
      </c>
      <c r="I580">
        <f t="shared" si="36"/>
        <v>1</v>
      </c>
      <c r="J580">
        <f t="shared" si="37"/>
        <v>0</v>
      </c>
      <c r="K580">
        <f t="shared" si="38"/>
        <v>0</v>
      </c>
      <c r="L580">
        <f t="shared" si="39"/>
        <v>0</v>
      </c>
    </row>
    <row r="581" spans="1:12" x14ac:dyDescent="0.25">
      <c r="A581" t="s">
        <v>697</v>
      </c>
      <c r="B581" t="s">
        <v>692</v>
      </c>
      <c r="C581">
        <v>6</v>
      </c>
      <c r="D581">
        <v>6</v>
      </c>
      <c r="G581">
        <v>12</v>
      </c>
      <c r="H581">
        <v>0</v>
      </c>
      <c r="I581">
        <f t="shared" si="36"/>
        <v>1</v>
      </c>
      <c r="J581">
        <f t="shared" si="37"/>
        <v>0</v>
      </c>
      <c r="K581">
        <f t="shared" si="38"/>
        <v>0</v>
      </c>
      <c r="L581">
        <f t="shared" si="39"/>
        <v>1</v>
      </c>
    </row>
    <row r="582" spans="1:12" x14ac:dyDescent="0.25">
      <c r="A582" t="s">
        <v>698</v>
      </c>
      <c r="B582" t="s">
        <v>692</v>
      </c>
      <c r="C582">
        <v>6</v>
      </c>
      <c r="D582">
        <v>0</v>
      </c>
      <c r="G582">
        <v>6</v>
      </c>
      <c r="H582">
        <v>0</v>
      </c>
      <c r="I582">
        <f t="shared" si="36"/>
        <v>1</v>
      </c>
      <c r="J582">
        <f t="shared" si="37"/>
        <v>0</v>
      </c>
      <c r="K582">
        <f t="shared" si="38"/>
        <v>0</v>
      </c>
      <c r="L582">
        <f t="shared" si="39"/>
        <v>0</v>
      </c>
    </row>
    <row r="583" spans="1:12" x14ac:dyDescent="0.25">
      <c r="A583" t="s">
        <v>699</v>
      </c>
      <c r="B583" t="s">
        <v>692</v>
      </c>
      <c r="C583">
        <v>6</v>
      </c>
      <c r="D583">
        <v>0</v>
      </c>
      <c r="G583">
        <v>6</v>
      </c>
      <c r="H583">
        <v>0</v>
      </c>
      <c r="I583">
        <f t="shared" si="36"/>
        <v>1</v>
      </c>
      <c r="J583">
        <f t="shared" si="37"/>
        <v>0</v>
      </c>
      <c r="K583">
        <f t="shared" si="38"/>
        <v>0</v>
      </c>
      <c r="L583">
        <f t="shared" si="39"/>
        <v>0</v>
      </c>
    </row>
    <row r="584" spans="1:12" x14ac:dyDescent="0.25">
      <c r="A584" t="s">
        <v>700</v>
      </c>
      <c r="B584" t="s">
        <v>692</v>
      </c>
      <c r="C584">
        <v>12</v>
      </c>
      <c r="D584">
        <v>0</v>
      </c>
      <c r="G584">
        <v>12</v>
      </c>
      <c r="H584">
        <v>0</v>
      </c>
      <c r="I584">
        <f t="shared" si="36"/>
        <v>1</v>
      </c>
      <c r="J584">
        <f t="shared" si="37"/>
        <v>0</v>
      </c>
      <c r="K584">
        <f t="shared" si="38"/>
        <v>0</v>
      </c>
      <c r="L584">
        <f t="shared" si="39"/>
        <v>0</v>
      </c>
    </row>
    <row r="585" spans="1:12" x14ac:dyDescent="0.25">
      <c r="A585" t="s">
        <v>701</v>
      </c>
      <c r="B585" t="s">
        <v>702</v>
      </c>
      <c r="C585">
        <v>16</v>
      </c>
      <c r="D585">
        <v>0</v>
      </c>
      <c r="G585">
        <v>16</v>
      </c>
      <c r="H585">
        <v>0</v>
      </c>
      <c r="I585">
        <f t="shared" si="36"/>
        <v>1</v>
      </c>
      <c r="J585">
        <f t="shared" si="37"/>
        <v>0</v>
      </c>
      <c r="K585">
        <f t="shared" si="38"/>
        <v>0</v>
      </c>
      <c r="L585">
        <f t="shared" si="39"/>
        <v>0</v>
      </c>
    </row>
    <row r="586" spans="1:12" x14ac:dyDescent="0.25">
      <c r="A586" t="s">
        <v>703</v>
      </c>
      <c r="B586" t="s">
        <v>28</v>
      </c>
      <c r="C586">
        <v>2</v>
      </c>
      <c r="D586">
        <v>10</v>
      </c>
      <c r="G586">
        <v>12</v>
      </c>
      <c r="H586">
        <v>0</v>
      </c>
      <c r="I586">
        <f t="shared" si="36"/>
        <v>1</v>
      </c>
      <c r="J586">
        <f t="shared" si="37"/>
        <v>0</v>
      </c>
      <c r="K586">
        <f t="shared" si="38"/>
        <v>0</v>
      </c>
      <c r="L586">
        <f t="shared" si="39"/>
        <v>1</v>
      </c>
    </row>
    <row r="587" spans="1:12" x14ac:dyDescent="0.25">
      <c r="A587" t="s">
        <v>704</v>
      </c>
      <c r="B587" t="s">
        <v>28</v>
      </c>
      <c r="C587">
        <v>12</v>
      </c>
      <c r="D587">
        <v>12</v>
      </c>
      <c r="G587">
        <v>24</v>
      </c>
      <c r="H587">
        <v>0</v>
      </c>
      <c r="I587">
        <f t="shared" si="36"/>
        <v>1</v>
      </c>
      <c r="J587">
        <f t="shared" si="37"/>
        <v>0</v>
      </c>
      <c r="K587">
        <f t="shared" si="38"/>
        <v>0</v>
      </c>
      <c r="L587">
        <f t="shared" si="39"/>
        <v>1</v>
      </c>
    </row>
    <row r="588" spans="1:12" x14ac:dyDescent="0.25">
      <c r="A588" t="s">
        <v>705</v>
      </c>
      <c r="B588" t="s">
        <v>28</v>
      </c>
      <c r="C588">
        <v>12</v>
      </c>
      <c r="D588">
        <v>0</v>
      </c>
      <c r="G588">
        <v>12</v>
      </c>
      <c r="H588">
        <v>0</v>
      </c>
      <c r="I588">
        <f t="shared" si="36"/>
        <v>1</v>
      </c>
      <c r="J588">
        <f t="shared" si="37"/>
        <v>0</v>
      </c>
      <c r="K588">
        <f t="shared" si="38"/>
        <v>0</v>
      </c>
      <c r="L588">
        <f t="shared" si="39"/>
        <v>0</v>
      </c>
    </row>
    <row r="589" spans="1:12" x14ac:dyDescent="0.25">
      <c r="A589" t="s">
        <v>706</v>
      </c>
      <c r="B589" t="s">
        <v>28</v>
      </c>
      <c r="C589">
        <v>15</v>
      </c>
      <c r="D589">
        <v>0</v>
      </c>
      <c r="G589">
        <v>15</v>
      </c>
      <c r="H589">
        <v>0</v>
      </c>
      <c r="I589">
        <f t="shared" si="36"/>
        <v>1</v>
      </c>
      <c r="J589">
        <f t="shared" si="37"/>
        <v>0</v>
      </c>
      <c r="K589">
        <f t="shared" si="38"/>
        <v>0</v>
      </c>
      <c r="L589">
        <f t="shared" si="39"/>
        <v>0</v>
      </c>
    </row>
    <row r="590" spans="1:12" x14ac:dyDescent="0.25">
      <c r="A590" t="s">
        <v>707</v>
      </c>
      <c r="B590" t="s">
        <v>28</v>
      </c>
      <c r="C590">
        <v>8</v>
      </c>
      <c r="D590">
        <v>52</v>
      </c>
      <c r="G590">
        <v>60</v>
      </c>
      <c r="H590">
        <v>0</v>
      </c>
      <c r="I590">
        <f t="shared" si="36"/>
        <v>1</v>
      </c>
      <c r="J590">
        <f t="shared" si="37"/>
        <v>0</v>
      </c>
      <c r="K590">
        <f t="shared" si="38"/>
        <v>0</v>
      </c>
      <c r="L590">
        <f t="shared" si="39"/>
        <v>1</v>
      </c>
    </row>
    <row r="591" spans="1:12" x14ac:dyDescent="0.25">
      <c r="A591" t="s">
        <v>708</v>
      </c>
      <c r="B591" t="s">
        <v>28</v>
      </c>
      <c r="C591">
        <v>12</v>
      </c>
      <c r="D591">
        <v>2</v>
      </c>
      <c r="G591">
        <v>14</v>
      </c>
      <c r="H591">
        <v>0</v>
      </c>
      <c r="I591">
        <f t="shared" si="36"/>
        <v>1</v>
      </c>
      <c r="J591">
        <f t="shared" si="37"/>
        <v>0</v>
      </c>
      <c r="K591">
        <f t="shared" si="38"/>
        <v>0</v>
      </c>
      <c r="L591">
        <f t="shared" si="39"/>
        <v>1</v>
      </c>
    </row>
    <row r="592" spans="1:12" x14ac:dyDescent="0.25">
      <c r="A592" t="s">
        <v>709</v>
      </c>
      <c r="B592" t="s">
        <v>28</v>
      </c>
      <c r="C592">
        <v>8</v>
      </c>
      <c r="D592">
        <v>12</v>
      </c>
      <c r="G592">
        <v>20</v>
      </c>
      <c r="H592">
        <v>0</v>
      </c>
      <c r="I592">
        <f t="shared" si="36"/>
        <v>1</v>
      </c>
      <c r="J592">
        <f t="shared" si="37"/>
        <v>0</v>
      </c>
      <c r="K592">
        <f t="shared" si="38"/>
        <v>0</v>
      </c>
      <c r="L592">
        <f t="shared" si="39"/>
        <v>1</v>
      </c>
    </row>
    <row r="593" spans="1:12" x14ac:dyDescent="0.25">
      <c r="A593" t="s">
        <v>710</v>
      </c>
      <c r="B593" t="s">
        <v>28</v>
      </c>
      <c r="C593">
        <v>8</v>
      </c>
      <c r="D593">
        <v>4</v>
      </c>
      <c r="G593">
        <v>12</v>
      </c>
      <c r="H593">
        <v>0</v>
      </c>
      <c r="I593">
        <f t="shared" si="36"/>
        <v>1</v>
      </c>
      <c r="J593">
        <f t="shared" si="37"/>
        <v>0</v>
      </c>
      <c r="K593">
        <f t="shared" si="38"/>
        <v>0</v>
      </c>
      <c r="L593">
        <f t="shared" si="39"/>
        <v>1</v>
      </c>
    </row>
    <row r="594" spans="1:12" x14ac:dyDescent="0.25">
      <c r="A594" t="s">
        <v>711</v>
      </c>
      <c r="B594" t="s">
        <v>28</v>
      </c>
      <c r="C594">
        <v>12</v>
      </c>
      <c r="D594">
        <v>0</v>
      </c>
      <c r="G594">
        <v>12</v>
      </c>
      <c r="H594">
        <v>0</v>
      </c>
      <c r="I594">
        <f t="shared" si="36"/>
        <v>1</v>
      </c>
      <c r="J594">
        <f t="shared" si="37"/>
        <v>0</v>
      </c>
      <c r="K594">
        <f t="shared" si="38"/>
        <v>0</v>
      </c>
      <c r="L594">
        <f t="shared" si="39"/>
        <v>0</v>
      </c>
    </row>
    <row r="595" spans="1:12" x14ac:dyDescent="0.25">
      <c r="A595" t="s">
        <v>712</v>
      </c>
      <c r="B595" t="s">
        <v>28</v>
      </c>
      <c r="C595">
        <v>6</v>
      </c>
      <c r="D595">
        <v>6</v>
      </c>
      <c r="G595">
        <v>12</v>
      </c>
      <c r="H595">
        <v>0</v>
      </c>
      <c r="I595">
        <f t="shared" si="36"/>
        <v>1</v>
      </c>
      <c r="J595">
        <f t="shared" si="37"/>
        <v>0</v>
      </c>
      <c r="K595">
        <f t="shared" si="38"/>
        <v>0</v>
      </c>
      <c r="L595">
        <f t="shared" si="39"/>
        <v>1</v>
      </c>
    </row>
    <row r="596" spans="1:12" x14ac:dyDescent="0.25">
      <c r="A596" t="s">
        <v>713</v>
      </c>
      <c r="B596" t="s">
        <v>28</v>
      </c>
      <c r="C596">
        <v>11</v>
      </c>
      <c r="D596">
        <v>0</v>
      </c>
      <c r="G596">
        <v>11</v>
      </c>
      <c r="H596">
        <v>0</v>
      </c>
      <c r="I596">
        <f t="shared" si="36"/>
        <v>1</v>
      </c>
      <c r="J596">
        <f t="shared" si="37"/>
        <v>0</v>
      </c>
      <c r="K596">
        <f t="shared" si="38"/>
        <v>0</v>
      </c>
      <c r="L596">
        <f t="shared" si="39"/>
        <v>0</v>
      </c>
    </row>
    <row r="597" spans="1:12" x14ac:dyDescent="0.25">
      <c r="A597" t="s">
        <v>714</v>
      </c>
      <c r="B597" t="s">
        <v>715</v>
      </c>
      <c r="C597">
        <v>12</v>
      </c>
      <c r="D597">
        <v>0</v>
      </c>
      <c r="G597">
        <v>12</v>
      </c>
      <c r="H597">
        <v>0</v>
      </c>
      <c r="I597">
        <f t="shared" si="36"/>
        <v>1</v>
      </c>
      <c r="J597">
        <f t="shared" si="37"/>
        <v>0</v>
      </c>
      <c r="K597">
        <f t="shared" si="38"/>
        <v>0</v>
      </c>
      <c r="L597">
        <f t="shared" si="39"/>
        <v>0</v>
      </c>
    </row>
    <row r="598" spans="1:12" x14ac:dyDescent="0.25">
      <c r="A598" t="s">
        <v>716</v>
      </c>
      <c r="B598" t="s">
        <v>717</v>
      </c>
      <c r="C598">
        <v>16</v>
      </c>
      <c r="D598">
        <v>8</v>
      </c>
      <c r="G598">
        <v>24</v>
      </c>
      <c r="H598">
        <v>0</v>
      </c>
      <c r="I598">
        <f t="shared" si="36"/>
        <v>1</v>
      </c>
      <c r="J598">
        <f t="shared" si="37"/>
        <v>0</v>
      </c>
      <c r="K598">
        <f t="shared" si="38"/>
        <v>0</v>
      </c>
      <c r="L598">
        <f t="shared" si="39"/>
        <v>1</v>
      </c>
    </row>
    <row r="599" spans="1:12" x14ac:dyDescent="0.25">
      <c r="A599" t="s">
        <v>718</v>
      </c>
      <c r="B599" t="s">
        <v>717</v>
      </c>
      <c r="C599">
        <v>12</v>
      </c>
      <c r="D599">
        <v>0</v>
      </c>
      <c r="G599">
        <v>12</v>
      </c>
      <c r="H599">
        <v>0</v>
      </c>
      <c r="I599">
        <f t="shared" si="36"/>
        <v>1</v>
      </c>
      <c r="J599">
        <f t="shared" si="37"/>
        <v>0</v>
      </c>
      <c r="K599">
        <f t="shared" si="38"/>
        <v>0</v>
      </c>
      <c r="L599">
        <f t="shared" si="39"/>
        <v>0</v>
      </c>
    </row>
    <row r="600" spans="1:12" x14ac:dyDescent="0.25">
      <c r="A600" t="s">
        <v>719</v>
      </c>
      <c r="B600" t="s">
        <v>31</v>
      </c>
      <c r="C600">
        <v>12</v>
      </c>
      <c r="D600">
        <v>2</v>
      </c>
      <c r="G600">
        <v>14</v>
      </c>
      <c r="H600">
        <v>0</v>
      </c>
      <c r="I600">
        <f t="shared" si="36"/>
        <v>1</v>
      </c>
      <c r="J600">
        <f t="shared" si="37"/>
        <v>0</v>
      </c>
      <c r="K600">
        <f t="shared" si="38"/>
        <v>0</v>
      </c>
      <c r="L600">
        <f t="shared" si="39"/>
        <v>1</v>
      </c>
    </row>
    <row r="601" spans="1:12" x14ac:dyDescent="0.25">
      <c r="A601" t="s">
        <v>720</v>
      </c>
      <c r="B601" t="s">
        <v>31</v>
      </c>
      <c r="C601">
        <v>12</v>
      </c>
      <c r="D601">
        <v>0</v>
      </c>
      <c r="G601">
        <v>12</v>
      </c>
      <c r="H601">
        <v>0</v>
      </c>
      <c r="I601">
        <f t="shared" si="36"/>
        <v>1</v>
      </c>
      <c r="J601">
        <f t="shared" si="37"/>
        <v>0</v>
      </c>
      <c r="K601">
        <f t="shared" si="38"/>
        <v>0</v>
      </c>
      <c r="L601">
        <f t="shared" si="39"/>
        <v>0</v>
      </c>
    </row>
    <row r="602" spans="1:12" x14ac:dyDescent="0.25">
      <c r="A602" t="s">
        <v>721</v>
      </c>
      <c r="B602" t="s">
        <v>31</v>
      </c>
      <c r="C602">
        <v>6</v>
      </c>
      <c r="D602">
        <v>0</v>
      </c>
      <c r="G602">
        <v>6</v>
      </c>
      <c r="H602">
        <v>0</v>
      </c>
      <c r="I602">
        <f t="shared" si="36"/>
        <v>1</v>
      </c>
      <c r="J602">
        <f t="shared" si="37"/>
        <v>0</v>
      </c>
      <c r="K602">
        <f t="shared" si="38"/>
        <v>0</v>
      </c>
      <c r="L602">
        <f t="shared" si="39"/>
        <v>0</v>
      </c>
    </row>
    <row r="603" spans="1:12" x14ac:dyDescent="0.25">
      <c r="A603" t="s">
        <v>722</v>
      </c>
      <c r="B603" t="s">
        <v>31</v>
      </c>
      <c r="C603">
        <v>0</v>
      </c>
      <c r="D603">
        <v>12</v>
      </c>
      <c r="G603">
        <v>12</v>
      </c>
      <c r="H603">
        <v>0</v>
      </c>
      <c r="I603">
        <f t="shared" si="36"/>
        <v>0</v>
      </c>
      <c r="J603">
        <f t="shared" si="37"/>
        <v>0</v>
      </c>
      <c r="K603">
        <f t="shared" si="38"/>
        <v>0</v>
      </c>
      <c r="L603">
        <f t="shared" si="39"/>
        <v>1</v>
      </c>
    </row>
    <row r="604" spans="1:12" x14ac:dyDescent="0.25">
      <c r="A604" t="s">
        <v>723</v>
      </c>
      <c r="B604" t="s">
        <v>31</v>
      </c>
      <c r="C604">
        <v>16</v>
      </c>
      <c r="D604">
        <v>8</v>
      </c>
      <c r="G604">
        <v>24</v>
      </c>
      <c r="H604">
        <v>0</v>
      </c>
      <c r="I604">
        <f t="shared" si="36"/>
        <v>1</v>
      </c>
      <c r="J604">
        <f t="shared" si="37"/>
        <v>0</v>
      </c>
      <c r="K604">
        <f t="shared" si="38"/>
        <v>0</v>
      </c>
      <c r="L604">
        <f t="shared" si="39"/>
        <v>1</v>
      </c>
    </row>
    <row r="605" spans="1:12" x14ac:dyDescent="0.25">
      <c r="A605" t="s">
        <v>724</v>
      </c>
      <c r="B605" t="s">
        <v>31</v>
      </c>
      <c r="C605">
        <v>11</v>
      </c>
      <c r="D605">
        <v>29</v>
      </c>
      <c r="G605">
        <v>40</v>
      </c>
      <c r="H605">
        <v>0</v>
      </c>
      <c r="I605">
        <f t="shared" si="36"/>
        <v>1</v>
      </c>
      <c r="J605">
        <f t="shared" si="37"/>
        <v>0</v>
      </c>
      <c r="K605">
        <f t="shared" si="38"/>
        <v>0</v>
      </c>
      <c r="L605">
        <f t="shared" si="39"/>
        <v>1</v>
      </c>
    </row>
    <row r="606" spans="1:12" x14ac:dyDescent="0.25">
      <c r="A606" t="s">
        <v>725</v>
      </c>
      <c r="B606" t="s">
        <v>31</v>
      </c>
      <c r="C606">
        <v>8</v>
      </c>
      <c r="D606">
        <v>0</v>
      </c>
      <c r="G606">
        <v>8</v>
      </c>
      <c r="H606">
        <v>0</v>
      </c>
      <c r="I606">
        <f t="shared" si="36"/>
        <v>1</v>
      </c>
      <c r="J606">
        <f t="shared" si="37"/>
        <v>0</v>
      </c>
      <c r="K606">
        <f t="shared" si="38"/>
        <v>0</v>
      </c>
      <c r="L606">
        <f t="shared" si="39"/>
        <v>0</v>
      </c>
    </row>
    <row r="607" spans="1:12" x14ac:dyDescent="0.25">
      <c r="A607" t="s">
        <v>726</v>
      </c>
      <c r="B607" t="s">
        <v>31</v>
      </c>
      <c r="C607">
        <v>12</v>
      </c>
      <c r="D607">
        <v>0</v>
      </c>
      <c r="G607">
        <v>12</v>
      </c>
      <c r="H607">
        <v>0</v>
      </c>
      <c r="I607">
        <f t="shared" si="36"/>
        <v>1</v>
      </c>
      <c r="J607">
        <f t="shared" si="37"/>
        <v>0</v>
      </c>
      <c r="K607">
        <f t="shared" si="38"/>
        <v>0</v>
      </c>
      <c r="L607">
        <f t="shared" si="39"/>
        <v>0</v>
      </c>
    </row>
    <row r="608" spans="1:12" x14ac:dyDescent="0.25">
      <c r="A608" t="s">
        <v>727</v>
      </c>
      <c r="B608" t="s">
        <v>31</v>
      </c>
      <c r="C608">
        <v>6</v>
      </c>
      <c r="D608">
        <v>12</v>
      </c>
      <c r="G608">
        <v>18</v>
      </c>
      <c r="H608">
        <v>0</v>
      </c>
      <c r="I608">
        <f t="shared" si="36"/>
        <v>1</v>
      </c>
      <c r="J608">
        <f t="shared" si="37"/>
        <v>0</v>
      </c>
      <c r="K608">
        <f t="shared" si="38"/>
        <v>0</v>
      </c>
      <c r="L608">
        <f t="shared" si="39"/>
        <v>1</v>
      </c>
    </row>
    <row r="609" spans="1:12" x14ac:dyDescent="0.25">
      <c r="A609" t="s">
        <v>728</v>
      </c>
      <c r="B609" t="s">
        <v>31</v>
      </c>
      <c r="C609">
        <v>16</v>
      </c>
      <c r="D609">
        <v>52</v>
      </c>
      <c r="G609">
        <v>68</v>
      </c>
      <c r="H609">
        <v>0</v>
      </c>
      <c r="I609">
        <f t="shared" si="36"/>
        <v>1</v>
      </c>
      <c r="J609">
        <f t="shared" si="37"/>
        <v>0</v>
      </c>
      <c r="K609">
        <f t="shared" si="38"/>
        <v>0</v>
      </c>
      <c r="L609">
        <f t="shared" si="39"/>
        <v>1</v>
      </c>
    </row>
    <row r="610" spans="1:12" x14ac:dyDescent="0.25">
      <c r="A610" t="s">
        <v>729</v>
      </c>
      <c r="B610" t="s">
        <v>31</v>
      </c>
      <c r="C610">
        <v>8</v>
      </c>
      <c r="D610">
        <v>8</v>
      </c>
      <c r="G610">
        <v>16</v>
      </c>
      <c r="H610">
        <v>0</v>
      </c>
      <c r="I610">
        <f t="shared" si="36"/>
        <v>1</v>
      </c>
      <c r="J610">
        <f t="shared" si="37"/>
        <v>0</v>
      </c>
      <c r="K610">
        <f t="shared" si="38"/>
        <v>0</v>
      </c>
      <c r="L610">
        <f t="shared" si="39"/>
        <v>1</v>
      </c>
    </row>
    <row r="611" spans="1:12" x14ac:dyDescent="0.25">
      <c r="A611" t="s">
        <v>730</v>
      </c>
      <c r="B611" t="s">
        <v>31</v>
      </c>
      <c r="C611">
        <v>18</v>
      </c>
      <c r="D611">
        <v>0</v>
      </c>
      <c r="G611">
        <v>18</v>
      </c>
      <c r="H611">
        <v>0</v>
      </c>
      <c r="I611">
        <f t="shared" si="36"/>
        <v>1</v>
      </c>
      <c r="J611">
        <f t="shared" si="37"/>
        <v>0</v>
      </c>
      <c r="K611">
        <f t="shared" si="38"/>
        <v>0</v>
      </c>
      <c r="L611">
        <f t="shared" si="39"/>
        <v>0</v>
      </c>
    </row>
    <row r="612" spans="1:12" x14ac:dyDescent="0.25">
      <c r="A612" t="s">
        <v>731</v>
      </c>
      <c r="B612" t="s">
        <v>31</v>
      </c>
      <c r="C612">
        <v>3</v>
      </c>
      <c r="D612">
        <v>0</v>
      </c>
      <c r="G612">
        <v>3</v>
      </c>
      <c r="H612">
        <v>0</v>
      </c>
      <c r="I612">
        <f t="shared" si="36"/>
        <v>1</v>
      </c>
      <c r="J612">
        <f t="shared" si="37"/>
        <v>0</v>
      </c>
      <c r="K612">
        <f t="shared" si="38"/>
        <v>0</v>
      </c>
      <c r="L612">
        <f t="shared" si="39"/>
        <v>0</v>
      </c>
    </row>
    <row r="613" spans="1:12" x14ac:dyDescent="0.25">
      <c r="A613" t="s">
        <v>732</v>
      </c>
      <c r="B613" t="s">
        <v>31</v>
      </c>
      <c r="C613">
        <v>12</v>
      </c>
      <c r="D613">
        <v>3</v>
      </c>
      <c r="G613">
        <v>15</v>
      </c>
      <c r="H613">
        <v>0</v>
      </c>
      <c r="I613">
        <f t="shared" si="36"/>
        <v>1</v>
      </c>
      <c r="J613">
        <f t="shared" si="37"/>
        <v>0</v>
      </c>
      <c r="K613">
        <f t="shared" si="38"/>
        <v>0</v>
      </c>
      <c r="L613">
        <f t="shared" si="39"/>
        <v>1</v>
      </c>
    </row>
    <row r="614" spans="1:12" x14ac:dyDescent="0.25">
      <c r="A614" t="s">
        <v>733</v>
      </c>
      <c r="B614" t="s">
        <v>31</v>
      </c>
      <c r="C614">
        <v>6</v>
      </c>
      <c r="D614">
        <v>6</v>
      </c>
      <c r="G614">
        <v>12</v>
      </c>
      <c r="H614">
        <v>0</v>
      </c>
      <c r="I614">
        <f t="shared" si="36"/>
        <v>1</v>
      </c>
      <c r="J614">
        <f t="shared" si="37"/>
        <v>0</v>
      </c>
      <c r="K614">
        <f t="shared" si="38"/>
        <v>0</v>
      </c>
      <c r="L614">
        <f t="shared" si="39"/>
        <v>1</v>
      </c>
    </row>
    <row r="615" spans="1:12" x14ac:dyDescent="0.25">
      <c r="A615" t="s">
        <v>734</v>
      </c>
      <c r="B615" t="s">
        <v>31</v>
      </c>
      <c r="C615">
        <v>16</v>
      </c>
      <c r="D615">
        <v>4</v>
      </c>
      <c r="G615">
        <v>20</v>
      </c>
      <c r="H615">
        <v>0</v>
      </c>
      <c r="I615">
        <f t="shared" si="36"/>
        <v>1</v>
      </c>
      <c r="J615">
        <f t="shared" si="37"/>
        <v>0</v>
      </c>
      <c r="K615">
        <f t="shared" si="38"/>
        <v>0</v>
      </c>
      <c r="L615">
        <f t="shared" si="39"/>
        <v>1</v>
      </c>
    </row>
    <row r="616" spans="1:12" x14ac:dyDescent="0.25">
      <c r="A616" t="s">
        <v>735</v>
      </c>
      <c r="B616" t="s">
        <v>31</v>
      </c>
      <c r="C616">
        <v>16</v>
      </c>
      <c r="D616">
        <v>0</v>
      </c>
      <c r="G616">
        <v>16</v>
      </c>
      <c r="H616">
        <v>0</v>
      </c>
      <c r="I616">
        <f t="shared" si="36"/>
        <v>1</v>
      </c>
      <c r="J616">
        <f t="shared" si="37"/>
        <v>0</v>
      </c>
      <c r="K616">
        <f t="shared" si="38"/>
        <v>0</v>
      </c>
      <c r="L616">
        <f t="shared" si="39"/>
        <v>0</v>
      </c>
    </row>
    <row r="617" spans="1:12" x14ac:dyDescent="0.25">
      <c r="A617" t="s">
        <v>736</v>
      </c>
      <c r="B617" t="s">
        <v>31</v>
      </c>
      <c r="C617">
        <v>16</v>
      </c>
      <c r="D617">
        <v>0</v>
      </c>
      <c r="G617">
        <v>16</v>
      </c>
      <c r="H617">
        <v>0</v>
      </c>
      <c r="I617">
        <f t="shared" si="36"/>
        <v>1</v>
      </c>
      <c r="J617">
        <f t="shared" si="37"/>
        <v>0</v>
      </c>
      <c r="K617">
        <f t="shared" si="38"/>
        <v>0</v>
      </c>
      <c r="L617">
        <f t="shared" si="39"/>
        <v>0</v>
      </c>
    </row>
    <row r="618" spans="1:12" x14ac:dyDescent="0.25">
      <c r="A618" t="s">
        <v>737</v>
      </c>
      <c r="B618" t="s">
        <v>31</v>
      </c>
      <c r="C618">
        <v>39</v>
      </c>
      <c r="D618">
        <v>13</v>
      </c>
      <c r="G618">
        <v>52</v>
      </c>
      <c r="H618">
        <v>0</v>
      </c>
      <c r="I618">
        <f t="shared" si="36"/>
        <v>1</v>
      </c>
      <c r="J618">
        <f t="shared" si="37"/>
        <v>0</v>
      </c>
      <c r="K618">
        <f t="shared" si="38"/>
        <v>0</v>
      </c>
      <c r="L618">
        <f t="shared" si="39"/>
        <v>1</v>
      </c>
    </row>
    <row r="619" spans="1:12" x14ac:dyDescent="0.25">
      <c r="A619" t="s">
        <v>738</v>
      </c>
      <c r="B619" t="s">
        <v>31</v>
      </c>
      <c r="C619">
        <v>10</v>
      </c>
      <c r="D619">
        <v>0</v>
      </c>
      <c r="G619">
        <v>10</v>
      </c>
      <c r="H619">
        <v>0</v>
      </c>
      <c r="I619">
        <f t="shared" si="36"/>
        <v>1</v>
      </c>
      <c r="J619">
        <f t="shared" si="37"/>
        <v>0</v>
      </c>
      <c r="K619">
        <f t="shared" si="38"/>
        <v>0</v>
      </c>
      <c r="L619">
        <f t="shared" si="39"/>
        <v>0</v>
      </c>
    </row>
    <row r="620" spans="1:12" x14ac:dyDescent="0.25">
      <c r="A620" t="s">
        <v>739</v>
      </c>
      <c r="B620" t="s">
        <v>145</v>
      </c>
      <c r="C620">
        <v>20</v>
      </c>
      <c r="D620">
        <v>0</v>
      </c>
      <c r="G620">
        <v>20</v>
      </c>
      <c r="H620">
        <v>0</v>
      </c>
      <c r="I620">
        <f t="shared" si="36"/>
        <v>1</v>
      </c>
      <c r="J620">
        <f t="shared" si="37"/>
        <v>0</v>
      </c>
      <c r="K620">
        <f t="shared" si="38"/>
        <v>0</v>
      </c>
      <c r="L620">
        <f t="shared" si="39"/>
        <v>0</v>
      </c>
    </row>
    <row r="621" spans="1:12" x14ac:dyDescent="0.25">
      <c r="A621" t="s">
        <v>740</v>
      </c>
      <c r="B621" t="s">
        <v>145</v>
      </c>
      <c r="C621">
        <v>12</v>
      </c>
      <c r="D621">
        <v>5</v>
      </c>
      <c r="G621">
        <v>17</v>
      </c>
      <c r="H621">
        <v>0</v>
      </c>
      <c r="I621">
        <f t="shared" si="36"/>
        <v>1</v>
      </c>
      <c r="J621">
        <f t="shared" si="37"/>
        <v>0</v>
      </c>
      <c r="K621">
        <f t="shared" si="38"/>
        <v>0</v>
      </c>
      <c r="L621">
        <f t="shared" si="39"/>
        <v>1</v>
      </c>
    </row>
    <row r="622" spans="1:12" x14ac:dyDescent="0.25">
      <c r="A622" t="s">
        <v>741</v>
      </c>
      <c r="B622" t="s">
        <v>742</v>
      </c>
      <c r="C622">
        <v>16</v>
      </c>
      <c r="D622">
        <v>0</v>
      </c>
      <c r="G622">
        <v>16</v>
      </c>
      <c r="H622">
        <v>0</v>
      </c>
      <c r="I622">
        <f t="shared" si="36"/>
        <v>1</v>
      </c>
      <c r="J622">
        <f t="shared" si="37"/>
        <v>0</v>
      </c>
      <c r="K622">
        <f t="shared" si="38"/>
        <v>0</v>
      </c>
      <c r="L622">
        <f t="shared" si="39"/>
        <v>0</v>
      </c>
    </row>
    <row r="623" spans="1:12" x14ac:dyDescent="0.25">
      <c r="A623" t="s">
        <v>743</v>
      </c>
      <c r="B623" t="s">
        <v>148</v>
      </c>
      <c r="C623">
        <v>4</v>
      </c>
      <c r="D623">
        <v>8</v>
      </c>
      <c r="G623">
        <v>12</v>
      </c>
      <c r="H623">
        <v>0</v>
      </c>
      <c r="I623">
        <f t="shared" si="36"/>
        <v>1</v>
      </c>
      <c r="J623">
        <f t="shared" si="37"/>
        <v>0</v>
      </c>
      <c r="K623">
        <f t="shared" si="38"/>
        <v>0</v>
      </c>
      <c r="L623">
        <f t="shared" si="39"/>
        <v>1</v>
      </c>
    </row>
    <row r="624" spans="1:12" x14ac:dyDescent="0.25">
      <c r="A624" t="s">
        <v>744</v>
      </c>
      <c r="B624" t="s">
        <v>148</v>
      </c>
      <c r="C624">
        <v>12</v>
      </c>
      <c r="D624">
        <v>0</v>
      </c>
      <c r="G624">
        <v>12</v>
      </c>
      <c r="H624">
        <v>0</v>
      </c>
      <c r="I624">
        <f t="shared" si="36"/>
        <v>1</v>
      </c>
      <c r="J624">
        <f t="shared" si="37"/>
        <v>0</v>
      </c>
      <c r="K624">
        <f t="shared" si="38"/>
        <v>0</v>
      </c>
      <c r="L624">
        <f t="shared" si="39"/>
        <v>0</v>
      </c>
    </row>
    <row r="625" spans="1:12" x14ac:dyDescent="0.25">
      <c r="A625" t="s">
        <v>745</v>
      </c>
      <c r="B625" t="s">
        <v>148</v>
      </c>
      <c r="C625">
        <v>26</v>
      </c>
      <c r="D625">
        <v>26</v>
      </c>
      <c r="G625">
        <v>52</v>
      </c>
      <c r="H625">
        <v>0</v>
      </c>
      <c r="I625">
        <f t="shared" si="36"/>
        <v>1</v>
      </c>
      <c r="J625">
        <f t="shared" si="37"/>
        <v>0</v>
      </c>
      <c r="K625">
        <f t="shared" si="38"/>
        <v>0</v>
      </c>
      <c r="L625">
        <f t="shared" si="39"/>
        <v>1</v>
      </c>
    </row>
    <row r="626" spans="1:12" x14ac:dyDescent="0.25">
      <c r="A626" t="s">
        <v>746</v>
      </c>
      <c r="B626" t="s">
        <v>148</v>
      </c>
      <c r="C626">
        <v>16</v>
      </c>
      <c r="D626">
        <v>4</v>
      </c>
      <c r="G626">
        <v>20</v>
      </c>
      <c r="H626">
        <v>0</v>
      </c>
      <c r="I626">
        <f t="shared" si="36"/>
        <v>1</v>
      </c>
      <c r="J626">
        <f t="shared" si="37"/>
        <v>0</v>
      </c>
      <c r="K626">
        <f t="shared" si="38"/>
        <v>0</v>
      </c>
      <c r="L626">
        <f t="shared" si="39"/>
        <v>1</v>
      </c>
    </row>
    <row r="627" spans="1:12" x14ac:dyDescent="0.25">
      <c r="A627" t="s">
        <v>747</v>
      </c>
      <c r="B627" t="s">
        <v>148</v>
      </c>
      <c r="C627">
        <v>6</v>
      </c>
      <c r="D627">
        <v>2</v>
      </c>
      <c r="G627">
        <v>8</v>
      </c>
      <c r="H627">
        <v>0</v>
      </c>
      <c r="I627">
        <f t="shared" si="36"/>
        <v>1</v>
      </c>
      <c r="J627">
        <f t="shared" si="37"/>
        <v>0</v>
      </c>
      <c r="K627">
        <f t="shared" si="38"/>
        <v>0</v>
      </c>
      <c r="L627">
        <f t="shared" si="39"/>
        <v>1</v>
      </c>
    </row>
    <row r="628" spans="1:12" x14ac:dyDescent="0.25">
      <c r="A628" t="s">
        <v>748</v>
      </c>
      <c r="B628" t="s">
        <v>148</v>
      </c>
      <c r="C628">
        <v>12</v>
      </c>
      <c r="D628">
        <v>0</v>
      </c>
      <c r="G628">
        <v>12</v>
      </c>
      <c r="H628">
        <v>0</v>
      </c>
      <c r="I628">
        <f t="shared" si="36"/>
        <v>1</v>
      </c>
      <c r="J628">
        <f t="shared" si="37"/>
        <v>0</v>
      </c>
      <c r="K628">
        <f t="shared" si="38"/>
        <v>0</v>
      </c>
      <c r="L628">
        <f t="shared" si="39"/>
        <v>0</v>
      </c>
    </row>
    <row r="629" spans="1:12" x14ac:dyDescent="0.25">
      <c r="A629" t="s">
        <v>749</v>
      </c>
      <c r="B629" t="s">
        <v>148</v>
      </c>
      <c r="C629">
        <v>16</v>
      </c>
      <c r="D629">
        <v>0</v>
      </c>
      <c r="G629">
        <v>16</v>
      </c>
      <c r="H629">
        <v>0</v>
      </c>
      <c r="I629">
        <f t="shared" si="36"/>
        <v>1</v>
      </c>
      <c r="J629">
        <f t="shared" si="37"/>
        <v>0</v>
      </c>
      <c r="K629">
        <f t="shared" si="38"/>
        <v>0</v>
      </c>
      <c r="L629">
        <f t="shared" si="39"/>
        <v>0</v>
      </c>
    </row>
    <row r="630" spans="1:12" x14ac:dyDescent="0.25">
      <c r="A630" t="s">
        <v>750</v>
      </c>
      <c r="B630" t="s">
        <v>148</v>
      </c>
      <c r="C630">
        <v>18</v>
      </c>
      <c r="D630">
        <v>0</v>
      </c>
      <c r="G630">
        <v>18</v>
      </c>
      <c r="H630">
        <v>0</v>
      </c>
      <c r="I630">
        <f t="shared" si="36"/>
        <v>1</v>
      </c>
      <c r="J630">
        <f t="shared" si="37"/>
        <v>0</v>
      </c>
      <c r="K630">
        <f t="shared" si="38"/>
        <v>0</v>
      </c>
      <c r="L630">
        <f t="shared" si="39"/>
        <v>0</v>
      </c>
    </row>
    <row r="631" spans="1:12" x14ac:dyDescent="0.25">
      <c r="A631" t="s">
        <v>751</v>
      </c>
      <c r="B631" t="s">
        <v>148</v>
      </c>
      <c r="C631">
        <v>2</v>
      </c>
      <c r="D631">
        <v>14</v>
      </c>
      <c r="G631">
        <v>16</v>
      </c>
      <c r="H631">
        <v>0</v>
      </c>
      <c r="I631">
        <f t="shared" si="36"/>
        <v>1</v>
      </c>
      <c r="J631">
        <f t="shared" si="37"/>
        <v>0</v>
      </c>
      <c r="K631">
        <f t="shared" si="38"/>
        <v>0</v>
      </c>
      <c r="L631">
        <f t="shared" si="39"/>
        <v>1</v>
      </c>
    </row>
    <row r="632" spans="1:12" x14ac:dyDescent="0.25">
      <c r="A632" t="s">
        <v>752</v>
      </c>
      <c r="B632" t="s">
        <v>148</v>
      </c>
      <c r="C632">
        <v>12</v>
      </c>
      <c r="E632">
        <v>4</v>
      </c>
      <c r="G632">
        <v>12</v>
      </c>
      <c r="H632">
        <v>4</v>
      </c>
      <c r="I632">
        <f t="shared" si="36"/>
        <v>1</v>
      </c>
      <c r="J632">
        <f t="shared" si="37"/>
        <v>1</v>
      </c>
      <c r="K632">
        <f t="shared" si="38"/>
        <v>0</v>
      </c>
      <c r="L632">
        <f t="shared" si="39"/>
        <v>0</v>
      </c>
    </row>
    <row r="633" spans="1:12" x14ac:dyDescent="0.25">
      <c r="A633" t="s">
        <v>753</v>
      </c>
      <c r="B633" t="s">
        <v>148</v>
      </c>
      <c r="C633">
        <v>7</v>
      </c>
      <c r="D633">
        <v>3.5</v>
      </c>
      <c r="G633">
        <v>10.5</v>
      </c>
      <c r="H633">
        <v>0</v>
      </c>
      <c r="I633">
        <f t="shared" si="36"/>
        <v>1</v>
      </c>
      <c r="J633">
        <f t="shared" si="37"/>
        <v>0</v>
      </c>
      <c r="K633">
        <f t="shared" si="38"/>
        <v>0</v>
      </c>
      <c r="L633">
        <f t="shared" si="39"/>
        <v>1</v>
      </c>
    </row>
    <row r="634" spans="1:12" x14ac:dyDescent="0.25">
      <c r="A634" t="s">
        <v>754</v>
      </c>
      <c r="B634" t="s">
        <v>148</v>
      </c>
      <c r="C634">
        <v>20</v>
      </c>
      <c r="D634">
        <v>2</v>
      </c>
      <c r="G634">
        <v>22</v>
      </c>
      <c r="H634">
        <v>0</v>
      </c>
      <c r="I634">
        <f t="shared" si="36"/>
        <v>1</v>
      </c>
      <c r="J634">
        <f t="shared" si="37"/>
        <v>0</v>
      </c>
      <c r="K634">
        <f t="shared" si="38"/>
        <v>0</v>
      </c>
      <c r="L634">
        <f t="shared" si="39"/>
        <v>1</v>
      </c>
    </row>
    <row r="635" spans="1:12" x14ac:dyDescent="0.25">
      <c r="A635" t="s">
        <v>755</v>
      </c>
      <c r="B635" t="s">
        <v>148</v>
      </c>
      <c r="C635">
        <v>12</v>
      </c>
      <c r="D635">
        <v>12</v>
      </c>
      <c r="G635">
        <v>24</v>
      </c>
      <c r="H635">
        <v>0</v>
      </c>
      <c r="I635">
        <f t="shared" si="36"/>
        <v>1</v>
      </c>
      <c r="J635">
        <f t="shared" si="37"/>
        <v>0</v>
      </c>
      <c r="K635">
        <f t="shared" si="38"/>
        <v>0</v>
      </c>
      <c r="L635">
        <f t="shared" si="39"/>
        <v>1</v>
      </c>
    </row>
    <row r="636" spans="1:12" x14ac:dyDescent="0.25">
      <c r="A636" t="s">
        <v>756</v>
      </c>
      <c r="B636" t="s">
        <v>148</v>
      </c>
      <c r="C636">
        <v>16</v>
      </c>
      <c r="D636">
        <v>3</v>
      </c>
      <c r="G636">
        <v>19</v>
      </c>
      <c r="H636">
        <v>0</v>
      </c>
      <c r="I636">
        <f t="shared" si="36"/>
        <v>1</v>
      </c>
      <c r="J636">
        <f t="shared" si="37"/>
        <v>0</v>
      </c>
      <c r="K636">
        <f t="shared" si="38"/>
        <v>0</v>
      </c>
      <c r="L636">
        <f t="shared" si="39"/>
        <v>1</v>
      </c>
    </row>
    <row r="637" spans="1:12" x14ac:dyDescent="0.25">
      <c r="A637" t="s">
        <v>757</v>
      </c>
      <c r="B637" t="s">
        <v>148</v>
      </c>
      <c r="C637">
        <v>15</v>
      </c>
      <c r="D637">
        <v>4</v>
      </c>
      <c r="G637">
        <v>19</v>
      </c>
      <c r="H637">
        <v>0</v>
      </c>
      <c r="I637">
        <f t="shared" si="36"/>
        <v>1</v>
      </c>
      <c r="J637">
        <f t="shared" si="37"/>
        <v>0</v>
      </c>
      <c r="K637">
        <f t="shared" si="38"/>
        <v>0</v>
      </c>
      <c r="L637">
        <f t="shared" si="39"/>
        <v>1</v>
      </c>
    </row>
    <row r="638" spans="1:12" x14ac:dyDescent="0.25">
      <c r="A638" t="s">
        <v>758</v>
      </c>
      <c r="B638" t="s">
        <v>148</v>
      </c>
      <c r="C638">
        <v>4</v>
      </c>
      <c r="D638">
        <v>6</v>
      </c>
      <c r="G638">
        <v>10</v>
      </c>
      <c r="H638">
        <v>0</v>
      </c>
      <c r="I638">
        <f t="shared" si="36"/>
        <v>1</v>
      </c>
      <c r="J638">
        <f t="shared" si="37"/>
        <v>0</v>
      </c>
      <c r="K638">
        <f t="shared" si="38"/>
        <v>0</v>
      </c>
      <c r="L638">
        <f t="shared" si="39"/>
        <v>1</v>
      </c>
    </row>
    <row r="639" spans="1:12" x14ac:dyDescent="0.25">
      <c r="A639" t="s">
        <v>759</v>
      </c>
      <c r="B639" t="s">
        <v>148</v>
      </c>
      <c r="C639">
        <v>12</v>
      </c>
      <c r="D639">
        <v>0</v>
      </c>
      <c r="G639">
        <v>12</v>
      </c>
      <c r="H639">
        <v>0</v>
      </c>
      <c r="I639">
        <f t="shared" si="36"/>
        <v>1</v>
      </c>
      <c r="J639">
        <f t="shared" si="37"/>
        <v>0</v>
      </c>
      <c r="K639">
        <f t="shared" si="38"/>
        <v>0</v>
      </c>
      <c r="L639">
        <f t="shared" si="39"/>
        <v>0</v>
      </c>
    </row>
    <row r="640" spans="1:12" x14ac:dyDescent="0.25">
      <c r="A640" t="s">
        <v>760</v>
      </c>
      <c r="B640" t="s">
        <v>148</v>
      </c>
      <c r="C640">
        <v>19</v>
      </c>
      <c r="D640">
        <v>0</v>
      </c>
      <c r="G640">
        <v>19</v>
      </c>
      <c r="H640">
        <v>0</v>
      </c>
      <c r="I640">
        <f t="shared" si="36"/>
        <v>1</v>
      </c>
      <c r="J640">
        <f t="shared" si="37"/>
        <v>0</v>
      </c>
      <c r="K640">
        <f t="shared" si="38"/>
        <v>0</v>
      </c>
      <c r="L640">
        <f t="shared" si="39"/>
        <v>0</v>
      </c>
    </row>
    <row r="641" spans="1:12" x14ac:dyDescent="0.25">
      <c r="A641" t="s">
        <v>761</v>
      </c>
      <c r="B641" t="s">
        <v>148</v>
      </c>
      <c r="C641">
        <v>12</v>
      </c>
      <c r="D641">
        <v>0</v>
      </c>
      <c r="G641">
        <v>12</v>
      </c>
      <c r="H641">
        <v>0</v>
      </c>
      <c r="I641">
        <f t="shared" si="36"/>
        <v>1</v>
      </c>
      <c r="J641">
        <f t="shared" si="37"/>
        <v>0</v>
      </c>
      <c r="K641">
        <f t="shared" si="38"/>
        <v>0</v>
      </c>
      <c r="L641">
        <f t="shared" si="39"/>
        <v>0</v>
      </c>
    </row>
    <row r="642" spans="1:12" x14ac:dyDescent="0.25">
      <c r="A642" t="s">
        <v>762</v>
      </c>
      <c r="B642" t="s">
        <v>148</v>
      </c>
      <c r="C642">
        <v>12.5</v>
      </c>
      <c r="D642">
        <v>0</v>
      </c>
      <c r="G642">
        <v>12.5</v>
      </c>
      <c r="H642">
        <v>0</v>
      </c>
      <c r="I642">
        <f t="shared" si="36"/>
        <v>1</v>
      </c>
      <c r="J642">
        <f t="shared" si="37"/>
        <v>0</v>
      </c>
      <c r="K642">
        <f t="shared" si="38"/>
        <v>0</v>
      </c>
      <c r="L642">
        <f t="shared" si="39"/>
        <v>0</v>
      </c>
    </row>
    <row r="643" spans="1:12" x14ac:dyDescent="0.25">
      <c r="A643" t="s">
        <v>763</v>
      </c>
      <c r="B643" t="s">
        <v>148</v>
      </c>
      <c r="C643">
        <v>12</v>
      </c>
      <c r="D643">
        <v>0</v>
      </c>
      <c r="G643">
        <v>12</v>
      </c>
      <c r="H643">
        <v>0</v>
      </c>
      <c r="I643">
        <f t="shared" ref="I643:I706" si="40">IF(C643&gt;0, 1, 0)</f>
        <v>1</v>
      </c>
      <c r="J643">
        <f t="shared" ref="J643:J706" si="41">IF(E643&gt;0, 1,0)</f>
        <v>0</v>
      </c>
      <c r="K643">
        <f t="shared" ref="K643:K706" si="42">IF(F643&gt;0, 1, 0)</f>
        <v>0</v>
      </c>
      <c r="L643">
        <f t="shared" ref="L643:L706" si="43">IF(D643&gt;0, 1, 0)</f>
        <v>0</v>
      </c>
    </row>
    <row r="644" spans="1:12" x14ac:dyDescent="0.25">
      <c r="A644" t="s">
        <v>764</v>
      </c>
      <c r="B644" t="s">
        <v>148</v>
      </c>
      <c r="C644">
        <v>10</v>
      </c>
      <c r="D644">
        <v>12</v>
      </c>
      <c r="G644">
        <v>22</v>
      </c>
      <c r="H644">
        <v>0</v>
      </c>
      <c r="I644">
        <f t="shared" si="40"/>
        <v>1</v>
      </c>
      <c r="J644">
        <f t="shared" si="41"/>
        <v>0</v>
      </c>
      <c r="K644">
        <f t="shared" si="42"/>
        <v>0</v>
      </c>
      <c r="L644">
        <f t="shared" si="43"/>
        <v>1</v>
      </c>
    </row>
    <row r="645" spans="1:12" x14ac:dyDescent="0.25">
      <c r="A645" t="s">
        <v>765</v>
      </c>
      <c r="B645" t="s">
        <v>148</v>
      </c>
      <c r="C645">
        <v>8.5</v>
      </c>
      <c r="D645">
        <v>8.5</v>
      </c>
      <c r="G645">
        <v>17</v>
      </c>
      <c r="H645">
        <v>0</v>
      </c>
      <c r="I645">
        <f t="shared" si="40"/>
        <v>1</v>
      </c>
      <c r="J645">
        <f t="shared" si="41"/>
        <v>0</v>
      </c>
      <c r="K645">
        <f t="shared" si="42"/>
        <v>0</v>
      </c>
      <c r="L645">
        <f t="shared" si="43"/>
        <v>1</v>
      </c>
    </row>
    <row r="646" spans="1:12" x14ac:dyDescent="0.25">
      <c r="A646" t="s">
        <v>766</v>
      </c>
      <c r="B646" t="s">
        <v>148</v>
      </c>
      <c r="C646">
        <v>16</v>
      </c>
      <c r="D646">
        <v>0</v>
      </c>
      <c r="G646">
        <v>16</v>
      </c>
      <c r="H646">
        <v>0</v>
      </c>
      <c r="I646">
        <f t="shared" si="40"/>
        <v>1</v>
      </c>
      <c r="J646">
        <f t="shared" si="41"/>
        <v>0</v>
      </c>
      <c r="K646">
        <f t="shared" si="42"/>
        <v>0</v>
      </c>
      <c r="L646">
        <f t="shared" si="43"/>
        <v>0</v>
      </c>
    </row>
    <row r="647" spans="1:12" x14ac:dyDescent="0.25">
      <c r="A647" t="s">
        <v>767</v>
      </c>
      <c r="B647" t="s">
        <v>148</v>
      </c>
      <c r="C647">
        <v>16</v>
      </c>
      <c r="E647">
        <v>2</v>
      </c>
      <c r="G647">
        <v>16</v>
      </c>
      <c r="H647">
        <v>2</v>
      </c>
      <c r="I647">
        <f t="shared" si="40"/>
        <v>1</v>
      </c>
      <c r="J647">
        <f t="shared" si="41"/>
        <v>1</v>
      </c>
      <c r="K647">
        <f t="shared" si="42"/>
        <v>0</v>
      </c>
      <c r="L647">
        <f t="shared" si="43"/>
        <v>0</v>
      </c>
    </row>
    <row r="648" spans="1:12" x14ac:dyDescent="0.25">
      <c r="A648" t="s">
        <v>768</v>
      </c>
      <c r="B648" t="s">
        <v>148</v>
      </c>
      <c r="C648">
        <v>14</v>
      </c>
      <c r="D648">
        <v>3</v>
      </c>
      <c r="G648">
        <v>17</v>
      </c>
      <c r="H648">
        <v>0</v>
      </c>
      <c r="I648">
        <f t="shared" si="40"/>
        <v>1</v>
      </c>
      <c r="J648">
        <f t="shared" si="41"/>
        <v>0</v>
      </c>
      <c r="K648">
        <f t="shared" si="42"/>
        <v>0</v>
      </c>
      <c r="L648">
        <f t="shared" si="43"/>
        <v>1</v>
      </c>
    </row>
    <row r="649" spans="1:12" x14ac:dyDescent="0.25">
      <c r="A649" t="s">
        <v>769</v>
      </c>
      <c r="B649" t="s">
        <v>148</v>
      </c>
      <c r="C649">
        <v>12</v>
      </c>
      <c r="D649">
        <v>0</v>
      </c>
      <c r="G649">
        <v>12</v>
      </c>
      <c r="H649">
        <v>0</v>
      </c>
      <c r="I649">
        <f t="shared" si="40"/>
        <v>1</v>
      </c>
      <c r="J649">
        <f t="shared" si="41"/>
        <v>0</v>
      </c>
      <c r="K649">
        <f t="shared" si="42"/>
        <v>0</v>
      </c>
      <c r="L649">
        <f t="shared" si="43"/>
        <v>0</v>
      </c>
    </row>
    <row r="650" spans="1:12" x14ac:dyDescent="0.25">
      <c r="A650" t="s">
        <v>770</v>
      </c>
      <c r="B650" t="s">
        <v>148</v>
      </c>
      <c r="C650">
        <v>20</v>
      </c>
      <c r="E650">
        <v>2</v>
      </c>
      <c r="G650">
        <v>20</v>
      </c>
      <c r="H650">
        <v>2</v>
      </c>
      <c r="I650">
        <f t="shared" si="40"/>
        <v>1</v>
      </c>
      <c r="J650">
        <f t="shared" si="41"/>
        <v>1</v>
      </c>
      <c r="K650">
        <f t="shared" si="42"/>
        <v>0</v>
      </c>
      <c r="L650">
        <f t="shared" si="43"/>
        <v>0</v>
      </c>
    </row>
    <row r="651" spans="1:12" x14ac:dyDescent="0.25">
      <c r="A651" t="s">
        <v>771</v>
      </c>
      <c r="B651" t="s">
        <v>148</v>
      </c>
      <c r="C651">
        <v>8</v>
      </c>
      <c r="D651">
        <v>2</v>
      </c>
      <c r="G651">
        <v>10</v>
      </c>
      <c r="H651">
        <v>0</v>
      </c>
      <c r="I651">
        <f t="shared" si="40"/>
        <v>1</v>
      </c>
      <c r="J651">
        <f t="shared" si="41"/>
        <v>0</v>
      </c>
      <c r="K651">
        <f t="shared" si="42"/>
        <v>0</v>
      </c>
      <c r="L651">
        <f t="shared" si="43"/>
        <v>1</v>
      </c>
    </row>
    <row r="652" spans="1:12" x14ac:dyDescent="0.25">
      <c r="A652" t="s">
        <v>772</v>
      </c>
      <c r="B652" t="s">
        <v>148</v>
      </c>
      <c r="C652">
        <v>16</v>
      </c>
      <c r="E652">
        <v>8</v>
      </c>
      <c r="G652">
        <v>16</v>
      </c>
      <c r="H652">
        <v>8</v>
      </c>
      <c r="I652">
        <f t="shared" si="40"/>
        <v>1</v>
      </c>
      <c r="J652">
        <f t="shared" si="41"/>
        <v>1</v>
      </c>
      <c r="K652">
        <f t="shared" si="42"/>
        <v>0</v>
      </c>
      <c r="L652">
        <f t="shared" si="43"/>
        <v>0</v>
      </c>
    </row>
    <row r="653" spans="1:12" x14ac:dyDescent="0.25">
      <c r="A653" t="s">
        <v>773</v>
      </c>
      <c r="B653" t="s">
        <v>148</v>
      </c>
      <c r="C653">
        <v>12</v>
      </c>
      <c r="D653">
        <v>2</v>
      </c>
      <c r="G653">
        <v>14</v>
      </c>
      <c r="H653">
        <v>0</v>
      </c>
      <c r="I653">
        <f t="shared" si="40"/>
        <v>1</v>
      </c>
      <c r="J653">
        <f t="shared" si="41"/>
        <v>0</v>
      </c>
      <c r="K653">
        <f t="shared" si="42"/>
        <v>0</v>
      </c>
      <c r="L653">
        <f t="shared" si="43"/>
        <v>1</v>
      </c>
    </row>
    <row r="654" spans="1:12" x14ac:dyDescent="0.25">
      <c r="A654" t="s">
        <v>774</v>
      </c>
      <c r="B654" t="s">
        <v>775</v>
      </c>
      <c r="C654">
        <v>12</v>
      </c>
      <c r="D654">
        <v>1</v>
      </c>
      <c r="G654">
        <v>13</v>
      </c>
      <c r="H654">
        <v>0</v>
      </c>
      <c r="I654">
        <f t="shared" si="40"/>
        <v>1</v>
      </c>
      <c r="J654">
        <f t="shared" si="41"/>
        <v>0</v>
      </c>
      <c r="K654">
        <f t="shared" si="42"/>
        <v>0</v>
      </c>
      <c r="L654">
        <f t="shared" si="43"/>
        <v>1</v>
      </c>
    </row>
    <row r="655" spans="1:12" x14ac:dyDescent="0.25">
      <c r="A655" t="s">
        <v>776</v>
      </c>
      <c r="B655" t="s">
        <v>164</v>
      </c>
      <c r="C655">
        <v>16.5</v>
      </c>
      <c r="D655">
        <v>13</v>
      </c>
      <c r="G655">
        <v>29.5</v>
      </c>
      <c r="H655">
        <v>0</v>
      </c>
      <c r="I655">
        <f t="shared" si="40"/>
        <v>1</v>
      </c>
      <c r="J655">
        <f t="shared" si="41"/>
        <v>0</v>
      </c>
      <c r="K655">
        <f t="shared" si="42"/>
        <v>0</v>
      </c>
      <c r="L655">
        <f t="shared" si="43"/>
        <v>1</v>
      </c>
    </row>
    <row r="656" spans="1:12" x14ac:dyDescent="0.25">
      <c r="A656" t="s">
        <v>777</v>
      </c>
      <c r="B656" t="s">
        <v>164</v>
      </c>
      <c r="C656">
        <v>8</v>
      </c>
      <c r="D656">
        <v>0</v>
      </c>
      <c r="G656">
        <v>8</v>
      </c>
      <c r="H656">
        <v>0</v>
      </c>
      <c r="I656">
        <f t="shared" si="40"/>
        <v>1</v>
      </c>
      <c r="J656">
        <f t="shared" si="41"/>
        <v>0</v>
      </c>
      <c r="K656">
        <f t="shared" si="42"/>
        <v>0</v>
      </c>
      <c r="L656">
        <f t="shared" si="43"/>
        <v>0</v>
      </c>
    </row>
    <row r="657" spans="1:12" x14ac:dyDescent="0.25">
      <c r="A657" t="s">
        <v>778</v>
      </c>
      <c r="B657" t="s">
        <v>164</v>
      </c>
      <c r="C657">
        <v>6</v>
      </c>
      <c r="D657">
        <v>1.5</v>
      </c>
      <c r="G657">
        <v>7.5</v>
      </c>
      <c r="H657">
        <v>0</v>
      </c>
      <c r="I657">
        <f t="shared" si="40"/>
        <v>1</v>
      </c>
      <c r="J657">
        <f t="shared" si="41"/>
        <v>0</v>
      </c>
      <c r="K657">
        <f t="shared" si="42"/>
        <v>0</v>
      </c>
      <c r="L657">
        <f t="shared" si="43"/>
        <v>1</v>
      </c>
    </row>
    <row r="658" spans="1:12" x14ac:dyDescent="0.25">
      <c r="A658" t="s">
        <v>779</v>
      </c>
      <c r="B658" t="s">
        <v>164</v>
      </c>
      <c r="C658">
        <v>8</v>
      </c>
      <c r="D658">
        <v>0</v>
      </c>
      <c r="G658">
        <v>8</v>
      </c>
      <c r="H658">
        <v>0</v>
      </c>
      <c r="I658">
        <f t="shared" si="40"/>
        <v>1</v>
      </c>
      <c r="J658">
        <f t="shared" si="41"/>
        <v>0</v>
      </c>
      <c r="K658">
        <f t="shared" si="42"/>
        <v>0</v>
      </c>
      <c r="L658">
        <f t="shared" si="43"/>
        <v>0</v>
      </c>
    </row>
    <row r="659" spans="1:12" x14ac:dyDescent="0.25">
      <c r="A659" t="s">
        <v>780</v>
      </c>
      <c r="B659" t="s">
        <v>166</v>
      </c>
      <c r="C659">
        <v>12</v>
      </c>
      <c r="D659">
        <v>52</v>
      </c>
      <c r="G659">
        <v>64</v>
      </c>
      <c r="H659">
        <v>0</v>
      </c>
      <c r="I659">
        <f t="shared" si="40"/>
        <v>1</v>
      </c>
      <c r="J659">
        <f t="shared" si="41"/>
        <v>0</v>
      </c>
      <c r="K659">
        <f t="shared" si="42"/>
        <v>0</v>
      </c>
      <c r="L659">
        <f t="shared" si="43"/>
        <v>1</v>
      </c>
    </row>
    <row r="660" spans="1:12" x14ac:dyDescent="0.25">
      <c r="A660" t="s">
        <v>781</v>
      </c>
      <c r="B660" t="s">
        <v>166</v>
      </c>
      <c r="C660">
        <v>16</v>
      </c>
      <c r="D660">
        <v>12</v>
      </c>
      <c r="G660">
        <v>28</v>
      </c>
      <c r="H660">
        <v>0</v>
      </c>
      <c r="I660">
        <f t="shared" si="40"/>
        <v>1</v>
      </c>
      <c r="J660">
        <f t="shared" si="41"/>
        <v>0</v>
      </c>
      <c r="K660">
        <f t="shared" si="42"/>
        <v>0</v>
      </c>
      <c r="L660">
        <f t="shared" si="43"/>
        <v>1</v>
      </c>
    </row>
    <row r="661" spans="1:12" x14ac:dyDescent="0.25">
      <c r="A661" t="s">
        <v>782</v>
      </c>
      <c r="B661" t="s">
        <v>166</v>
      </c>
      <c r="C661">
        <v>12</v>
      </c>
      <c r="D661">
        <v>12</v>
      </c>
      <c r="G661">
        <v>24</v>
      </c>
      <c r="H661">
        <v>0</v>
      </c>
      <c r="I661">
        <f t="shared" si="40"/>
        <v>1</v>
      </c>
      <c r="J661">
        <f t="shared" si="41"/>
        <v>0</v>
      </c>
      <c r="K661">
        <f t="shared" si="42"/>
        <v>0</v>
      </c>
      <c r="L661">
        <f t="shared" si="43"/>
        <v>1</v>
      </c>
    </row>
    <row r="662" spans="1:12" x14ac:dyDescent="0.25">
      <c r="A662" t="s">
        <v>783</v>
      </c>
      <c r="B662" t="s">
        <v>166</v>
      </c>
      <c r="C662">
        <v>20</v>
      </c>
      <c r="D662">
        <v>8</v>
      </c>
      <c r="G662">
        <v>28</v>
      </c>
      <c r="H662">
        <v>0</v>
      </c>
      <c r="I662">
        <f t="shared" si="40"/>
        <v>1</v>
      </c>
      <c r="J662">
        <f t="shared" si="41"/>
        <v>0</v>
      </c>
      <c r="K662">
        <f t="shared" si="42"/>
        <v>0</v>
      </c>
      <c r="L662">
        <f t="shared" si="43"/>
        <v>1</v>
      </c>
    </row>
    <row r="663" spans="1:12" x14ac:dyDescent="0.25">
      <c r="A663" t="s">
        <v>784</v>
      </c>
      <c r="B663" t="s">
        <v>166</v>
      </c>
      <c r="C663">
        <v>12</v>
      </c>
      <c r="D663">
        <v>0</v>
      </c>
      <c r="G663">
        <v>12</v>
      </c>
      <c r="H663">
        <v>0</v>
      </c>
      <c r="I663">
        <f t="shared" si="40"/>
        <v>1</v>
      </c>
      <c r="J663">
        <f t="shared" si="41"/>
        <v>0</v>
      </c>
      <c r="K663">
        <f t="shared" si="42"/>
        <v>0</v>
      </c>
      <c r="L663">
        <f t="shared" si="43"/>
        <v>0</v>
      </c>
    </row>
    <row r="664" spans="1:12" x14ac:dyDescent="0.25">
      <c r="A664" t="s">
        <v>785</v>
      </c>
      <c r="B664" t="s">
        <v>166</v>
      </c>
      <c r="C664">
        <v>12</v>
      </c>
      <c r="D664">
        <v>52</v>
      </c>
      <c r="G664">
        <v>64</v>
      </c>
      <c r="H664">
        <v>0</v>
      </c>
      <c r="I664">
        <f t="shared" si="40"/>
        <v>1</v>
      </c>
      <c r="J664">
        <f t="shared" si="41"/>
        <v>0</v>
      </c>
      <c r="K664">
        <f t="shared" si="42"/>
        <v>0</v>
      </c>
      <c r="L664">
        <f t="shared" si="43"/>
        <v>1</v>
      </c>
    </row>
    <row r="665" spans="1:12" x14ac:dyDescent="0.25">
      <c r="A665" t="s">
        <v>786</v>
      </c>
      <c r="B665" t="s">
        <v>166</v>
      </c>
      <c r="C665">
        <v>12</v>
      </c>
      <c r="D665">
        <v>0</v>
      </c>
      <c r="G665">
        <v>12</v>
      </c>
      <c r="H665">
        <v>0</v>
      </c>
      <c r="I665">
        <f t="shared" si="40"/>
        <v>1</v>
      </c>
      <c r="J665">
        <f t="shared" si="41"/>
        <v>0</v>
      </c>
      <c r="K665">
        <f t="shared" si="42"/>
        <v>0</v>
      </c>
      <c r="L665">
        <f t="shared" si="43"/>
        <v>0</v>
      </c>
    </row>
    <row r="666" spans="1:12" x14ac:dyDescent="0.25">
      <c r="A666" t="s">
        <v>787</v>
      </c>
      <c r="B666" t="s">
        <v>166</v>
      </c>
      <c r="C666">
        <v>9</v>
      </c>
      <c r="D666">
        <v>6</v>
      </c>
      <c r="G666">
        <v>15</v>
      </c>
      <c r="H666">
        <v>0</v>
      </c>
      <c r="I666">
        <f t="shared" si="40"/>
        <v>1</v>
      </c>
      <c r="J666">
        <f t="shared" si="41"/>
        <v>0</v>
      </c>
      <c r="K666">
        <f t="shared" si="42"/>
        <v>0</v>
      </c>
      <c r="L666">
        <f t="shared" si="43"/>
        <v>1</v>
      </c>
    </row>
    <row r="667" spans="1:12" x14ac:dyDescent="0.25">
      <c r="A667" t="s">
        <v>788</v>
      </c>
      <c r="B667" t="s">
        <v>166</v>
      </c>
      <c r="C667">
        <v>12</v>
      </c>
      <c r="D667">
        <v>0</v>
      </c>
      <c r="G667">
        <v>12</v>
      </c>
      <c r="H667">
        <v>0</v>
      </c>
      <c r="I667">
        <f t="shared" si="40"/>
        <v>1</v>
      </c>
      <c r="J667">
        <f t="shared" si="41"/>
        <v>0</v>
      </c>
      <c r="K667">
        <f t="shared" si="42"/>
        <v>0</v>
      </c>
      <c r="L667">
        <f t="shared" si="43"/>
        <v>0</v>
      </c>
    </row>
    <row r="668" spans="1:12" x14ac:dyDescent="0.25">
      <c r="A668" t="s">
        <v>789</v>
      </c>
      <c r="B668" t="s">
        <v>166</v>
      </c>
      <c r="C668">
        <v>4</v>
      </c>
      <c r="D668">
        <v>8</v>
      </c>
      <c r="G668">
        <v>12</v>
      </c>
      <c r="H668">
        <v>0</v>
      </c>
      <c r="I668">
        <f t="shared" si="40"/>
        <v>1</v>
      </c>
      <c r="J668">
        <f t="shared" si="41"/>
        <v>0</v>
      </c>
      <c r="K668">
        <f t="shared" si="42"/>
        <v>0</v>
      </c>
      <c r="L668">
        <f t="shared" si="43"/>
        <v>1</v>
      </c>
    </row>
    <row r="669" spans="1:12" x14ac:dyDescent="0.25">
      <c r="A669" t="s">
        <v>790</v>
      </c>
      <c r="B669" t="s">
        <v>166</v>
      </c>
      <c r="C669">
        <v>12</v>
      </c>
      <c r="D669">
        <v>6</v>
      </c>
      <c r="G669">
        <v>18</v>
      </c>
      <c r="H669">
        <v>0</v>
      </c>
      <c r="I669">
        <f t="shared" si="40"/>
        <v>1</v>
      </c>
      <c r="J669">
        <f t="shared" si="41"/>
        <v>0</v>
      </c>
      <c r="K669">
        <f t="shared" si="42"/>
        <v>0</v>
      </c>
      <c r="L669">
        <f t="shared" si="43"/>
        <v>1</v>
      </c>
    </row>
    <row r="670" spans="1:12" x14ac:dyDescent="0.25">
      <c r="A670" t="s">
        <v>791</v>
      </c>
      <c r="B670" t="s">
        <v>166</v>
      </c>
      <c r="C670">
        <v>12</v>
      </c>
      <c r="D670">
        <v>12</v>
      </c>
      <c r="G670">
        <v>24</v>
      </c>
      <c r="H670">
        <v>0</v>
      </c>
      <c r="I670">
        <f t="shared" si="40"/>
        <v>1</v>
      </c>
      <c r="J670">
        <f t="shared" si="41"/>
        <v>0</v>
      </c>
      <c r="K670">
        <f t="shared" si="42"/>
        <v>0</v>
      </c>
      <c r="L670">
        <f t="shared" si="43"/>
        <v>1</v>
      </c>
    </row>
    <row r="671" spans="1:12" x14ac:dyDescent="0.25">
      <c r="A671" t="s">
        <v>792</v>
      </c>
      <c r="B671" t="s">
        <v>166</v>
      </c>
      <c r="C671">
        <v>6</v>
      </c>
      <c r="D671">
        <v>6</v>
      </c>
      <c r="G671">
        <v>12</v>
      </c>
      <c r="H671">
        <v>0</v>
      </c>
      <c r="I671">
        <f t="shared" si="40"/>
        <v>1</v>
      </c>
      <c r="J671">
        <f t="shared" si="41"/>
        <v>0</v>
      </c>
      <c r="K671">
        <f t="shared" si="42"/>
        <v>0</v>
      </c>
      <c r="L671">
        <f t="shared" si="43"/>
        <v>1</v>
      </c>
    </row>
    <row r="672" spans="1:12" x14ac:dyDescent="0.25">
      <c r="A672" t="s">
        <v>793</v>
      </c>
      <c r="B672" t="s">
        <v>166</v>
      </c>
      <c r="C672">
        <v>12</v>
      </c>
      <c r="D672">
        <v>0</v>
      </c>
      <c r="G672">
        <v>12</v>
      </c>
      <c r="H672">
        <v>0</v>
      </c>
      <c r="I672">
        <f t="shared" si="40"/>
        <v>1</v>
      </c>
      <c r="J672">
        <f t="shared" si="41"/>
        <v>0</v>
      </c>
      <c r="K672">
        <f t="shared" si="42"/>
        <v>0</v>
      </c>
      <c r="L672">
        <f t="shared" si="43"/>
        <v>0</v>
      </c>
    </row>
    <row r="673" spans="1:12" x14ac:dyDescent="0.25">
      <c r="A673" t="s">
        <v>794</v>
      </c>
      <c r="B673" t="s">
        <v>166</v>
      </c>
      <c r="C673">
        <v>12</v>
      </c>
      <c r="D673">
        <v>4</v>
      </c>
      <c r="G673">
        <v>16</v>
      </c>
      <c r="H673">
        <v>0</v>
      </c>
      <c r="I673">
        <f t="shared" si="40"/>
        <v>1</v>
      </c>
      <c r="J673">
        <f t="shared" si="41"/>
        <v>0</v>
      </c>
      <c r="K673">
        <f t="shared" si="42"/>
        <v>0</v>
      </c>
      <c r="L673">
        <f t="shared" si="43"/>
        <v>1</v>
      </c>
    </row>
    <row r="674" spans="1:12" x14ac:dyDescent="0.25">
      <c r="A674" t="s">
        <v>795</v>
      </c>
      <c r="B674" t="s">
        <v>166</v>
      </c>
      <c r="C674">
        <v>16</v>
      </c>
      <c r="D674">
        <v>4</v>
      </c>
      <c r="G674">
        <v>20</v>
      </c>
      <c r="H674">
        <v>0</v>
      </c>
      <c r="I674">
        <f t="shared" si="40"/>
        <v>1</v>
      </c>
      <c r="J674">
        <f t="shared" si="41"/>
        <v>0</v>
      </c>
      <c r="K674">
        <f t="shared" si="42"/>
        <v>0</v>
      </c>
      <c r="L674">
        <f t="shared" si="43"/>
        <v>1</v>
      </c>
    </row>
    <row r="675" spans="1:12" x14ac:dyDescent="0.25">
      <c r="A675" t="s">
        <v>796</v>
      </c>
      <c r="B675" t="s">
        <v>166</v>
      </c>
      <c r="C675">
        <v>13</v>
      </c>
      <c r="D675">
        <v>0</v>
      </c>
      <c r="G675">
        <v>13</v>
      </c>
      <c r="H675">
        <v>0</v>
      </c>
      <c r="I675">
        <f t="shared" si="40"/>
        <v>1</v>
      </c>
      <c r="J675">
        <f t="shared" si="41"/>
        <v>0</v>
      </c>
      <c r="K675">
        <f t="shared" si="42"/>
        <v>0</v>
      </c>
      <c r="L675">
        <f t="shared" si="43"/>
        <v>0</v>
      </c>
    </row>
    <row r="676" spans="1:12" x14ac:dyDescent="0.25">
      <c r="A676" t="s">
        <v>797</v>
      </c>
      <c r="B676" t="s">
        <v>166</v>
      </c>
      <c r="C676">
        <v>21</v>
      </c>
      <c r="D676">
        <v>8</v>
      </c>
      <c r="G676">
        <v>29</v>
      </c>
      <c r="H676">
        <v>0</v>
      </c>
      <c r="I676">
        <f t="shared" si="40"/>
        <v>1</v>
      </c>
      <c r="J676">
        <f t="shared" si="41"/>
        <v>0</v>
      </c>
      <c r="K676">
        <f t="shared" si="42"/>
        <v>0</v>
      </c>
      <c r="L676">
        <f t="shared" si="43"/>
        <v>1</v>
      </c>
    </row>
    <row r="677" spans="1:12" x14ac:dyDescent="0.25">
      <c r="A677" t="s">
        <v>798</v>
      </c>
      <c r="B677" t="s">
        <v>166</v>
      </c>
      <c r="C677">
        <v>20</v>
      </c>
      <c r="D677">
        <v>26</v>
      </c>
      <c r="G677">
        <v>46</v>
      </c>
      <c r="H677">
        <v>0</v>
      </c>
      <c r="I677">
        <f t="shared" si="40"/>
        <v>1</v>
      </c>
      <c r="J677">
        <f t="shared" si="41"/>
        <v>0</v>
      </c>
      <c r="K677">
        <f t="shared" si="42"/>
        <v>0</v>
      </c>
      <c r="L677">
        <f t="shared" si="43"/>
        <v>1</v>
      </c>
    </row>
    <row r="678" spans="1:12" x14ac:dyDescent="0.25">
      <c r="A678" t="s">
        <v>799</v>
      </c>
      <c r="B678" t="s">
        <v>166</v>
      </c>
      <c r="C678">
        <v>10</v>
      </c>
      <c r="D678">
        <v>2</v>
      </c>
      <c r="G678">
        <v>12</v>
      </c>
      <c r="H678">
        <v>0</v>
      </c>
      <c r="I678">
        <f t="shared" si="40"/>
        <v>1</v>
      </c>
      <c r="J678">
        <f t="shared" si="41"/>
        <v>0</v>
      </c>
      <c r="K678">
        <f t="shared" si="42"/>
        <v>0</v>
      </c>
      <c r="L678">
        <f t="shared" si="43"/>
        <v>1</v>
      </c>
    </row>
    <row r="679" spans="1:12" x14ac:dyDescent="0.25">
      <c r="A679" t="s">
        <v>800</v>
      </c>
      <c r="B679" t="s">
        <v>801</v>
      </c>
      <c r="C679">
        <v>12</v>
      </c>
      <c r="D679">
        <v>2</v>
      </c>
      <c r="G679">
        <v>14</v>
      </c>
      <c r="H679">
        <v>0</v>
      </c>
      <c r="I679">
        <f t="shared" si="40"/>
        <v>1</v>
      </c>
      <c r="J679">
        <f t="shared" si="41"/>
        <v>0</v>
      </c>
      <c r="K679">
        <f t="shared" si="42"/>
        <v>0</v>
      </c>
      <c r="L679">
        <f t="shared" si="43"/>
        <v>1</v>
      </c>
    </row>
    <row r="680" spans="1:12" x14ac:dyDescent="0.25">
      <c r="A680" t="s">
        <v>802</v>
      </c>
      <c r="B680" t="s">
        <v>801</v>
      </c>
      <c r="C680">
        <v>18</v>
      </c>
      <c r="E680">
        <v>18</v>
      </c>
      <c r="G680">
        <v>18</v>
      </c>
      <c r="H680">
        <v>18</v>
      </c>
      <c r="I680">
        <f t="shared" si="40"/>
        <v>1</v>
      </c>
      <c r="J680">
        <f t="shared" si="41"/>
        <v>1</v>
      </c>
      <c r="K680">
        <f t="shared" si="42"/>
        <v>0</v>
      </c>
      <c r="L680">
        <f t="shared" si="43"/>
        <v>0</v>
      </c>
    </row>
    <row r="681" spans="1:12" x14ac:dyDescent="0.25">
      <c r="A681" t="s">
        <v>803</v>
      </c>
      <c r="B681" t="s">
        <v>804</v>
      </c>
      <c r="C681">
        <v>6</v>
      </c>
      <c r="D681">
        <v>0</v>
      </c>
      <c r="G681">
        <v>6</v>
      </c>
      <c r="H681">
        <v>0</v>
      </c>
      <c r="I681">
        <f t="shared" si="40"/>
        <v>1</v>
      </c>
      <c r="J681">
        <f t="shared" si="41"/>
        <v>0</v>
      </c>
      <c r="K681">
        <f t="shared" si="42"/>
        <v>0</v>
      </c>
      <c r="L681">
        <f t="shared" si="43"/>
        <v>0</v>
      </c>
    </row>
    <row r="682" spans="1:12" x14ac:dyDescent="0.25">
      <c r="A682" t="s">
        <v>805</v>
      </c>
      <c r="B682" t="s">
        <v>804</v>
      </c>
      <c r="C682">
        <v>12</v>
      </c>
      <c r="D682">
        <v>4</v>
      </c>
      <c r="G682">
        <v>16</v>
      </c>
      <c r="H682">
        <v>0</v>
      </c>
      <c r="I682">
        <f t="shared" si="40"/>
        <v>1</v>
      </c>
      <c r="J682">
        <f t="shared" si="41"/>
        <v>0</v>
      </c>
      <c r="K682">
        <f t="shared" si="42"/>
        <v>0</v>
      </c>
      <c r="L682">
        <f t="shared" si="43"/>
        <v>1</v>
      </c>
    </row>
    <row r="683" spans="1:12" x14ac:dyDescent="0.25">
      <c r="A683" t="s">
        <v>806</v>
      </c>
      <c r="B683" t="s">
        <v>804</v>
      </c>
      <c r="C683">
        <v>6</v>
      </c>
      <c r="D683">
        <v>1</v>
      </c>
      <c r="G683">
        <v>7</v>
      </c>
      <c r="H683">
        <v>0</v>
      </c>
      <c r="I683">
        <f t="shared" si="40"/>
        <v>1</v>
      </c>
      <c r="J683">
        <f t="shared" si="41"/>
        <v>0</v>
      </c>
      <c r="K683">
        <f t="shared" si="42"/>
        <v>0</v>
      </c>
      <c r="L683">
        <f t="shared" si="43"/>
        <v>1</v>
      </c>
    </row>
    <row r="684" spans="1:12" x14ac:dyDescent="0.25">
      <c r="A684" t="s">
        <v>807</v>
      </c>
      <c r="B684" t="s">
        <v>804</v>
      </c>
      <c r="C684">
        <v>6</v>
      </c>
      <c r="D684">
        <v>6</v>
      </c>
      <c r="G684">
        <v>12</v>
      </c>
      <c r="H684">
        <v>0</v>
      </c>
      <c r="I684">
        <f t="shared" si="40"/>
        <v>1</v>
      </c>
      <c r="J684">
        <f t="shared" si="41"/>
        <v>0</v>
      </c>
      <c r="K684">
        <f t="shared" si="42"/>
        <v>0</v>
      </c>
      <c r="L684">
        <f t="shared" si="43"/>
        <v>1</v>
      </c>
    </row>
    <row r="685" spans="1:12" x14ac:dyDescent="0.25">
      <c r="A685" t="s">
        <v>808</v>
      </c>
      <c r="B685" t="s">
        <v>804</v>
      </c>
      <c r="C685">
        <v>6</v>
      </c>
      <c r="D685">
        <v>6</v>
      </c>
      <c r="G685">
        <v>12</v>
      </c>
      <c r="H685">
        <v>0</v>
      </c>
      <c r="I685">
        <f t="shared" si="40"/>
        <v>1</v>
      </c>
      <c r="J685">
        <f t="shared" si="41"/>
        <v>0</v>
      </c>
      <c r="K685">
        <f t="shared" si="42"/>
        <v>0</v>
      </c>
      <c r="L685">
        <f t="shared" si="43"/>
        <v>1</v>
      </c>
    </row>
    <row r="686" spans="1:12" x14ac:dyDescent="0.25">
      <c r="A686" t="s">
        <v>809</v>
      </c>
      <c r="B686" t="s">
        <v>34</v>
      </c>
      <c r="C686">
        <v>1.5</v>
      </c>
      <c r="D686">
        <v>12</v>
      </c>
      <c r="G686">
        <v>13.5</v>
      </c>
      <c r="H686">
        <v>0</v>
      </c>
      <c r="I686">
        <f t="shared" si="40"/>
        <v>1</v>
      </c>
      <c r="J686">
        <f t="shared" si="41"/>
        <v>0</v>
      </c>
      <c r="K686">
        <f t="shared" si="42"/>
        <v>0</v>
      </c>
      <c r="L686">
        <f t="shared" si="43"/>
        <v>1</v>
      </c>
    </row>
    <row r="687" spans="1:12" x14ac:dyDescent="0.25">
      <c r="A687" t="s">
        <v>810</v>
      </c>
      <c r="B687" t="s">
        <v>36</v>
      </c>
      <c r="C687">
        <v>13</v>
      </c>
      <c r="D687">
        <v>20</v>
      </c>
      <c r="G687">
        <v>33</v>
      </c>
      <c r="H687">
        <v>0</v>
      </c>
      <c r="I687">
        <f t="shared" si="40"/>
        <v>1</v>
      </c>
      <c r="J687">
        <f t="shared" si="41"/>
        <v>0</v>
      </c>
      <c r="K687">
        <f t="shared" si="42"/>
        <v>0</v>
      </c>
      <c r="L687">
        <f t="shared" si="43"/>
        <v>1</v>
      </c>
    </row>
    <row r="688" spans="1:12" x14ac:dyDescent="0.25">
      <c r="A688" t="s">
        <v>811</v>
      </c>
      <c r="B688" t="s">
        <v>36</v>
      </c>
      <c r="C688">
        <v>12</v>
      </c>
      <c r="D688">
        <v>0</v>
      </c>
      <c r="G688">
        <v>12</v>
      </c>
      <c r="H688">
        <v>0</v>
      </c>
      <c r="I688">
        <f t="shared" si="40"/>
        <v>1</v>
      </c>
      <c r="J688">
        <f t="shared" si="41"/>
        <v>0</v>
      </c>
      <c r="K688">
        <f t="shared" si="42"/>
        <v>0</v>
      </c>
      <c r="L688">
        <f t="shared" si="43"/>
        <v>0</v>
      </c>
    </row>
    <row r="689" spans="1:12" x14ac:dyDescent="0.25">
      <c r="A689" t="s">
        <v>812</v>
      </c>
      <c r="B689" t="s">
        <v>36</v>
      </c>
      <c r="C689">
        <v>52</v>
      </c>
      <c r="D689">
        <v>26</v>
      </c>
      <c r="G689">
        <v>78</v>
      </c>
      <c r="H689">
        <v>0</v>
      </c>
      <c r="I689">
        <f t="shared" si="40"/>
        <v>1</v>
      </c>
      <c r="J689">
        <f t="shared" si="41"/>
        <v>0</v>
      </c>
      <c r="K689">
        <f t="shared" si="42"/>
        <v>0</v>
      </c>
      <c r="L689">
        <f t="shared" si="43"/>
        <v>1</v>
      </c>
    </row>
    <row r="690" spans="1:12" x14ac:dyDescent="0.25">
      <c r="A690" t="s">
        <v>813</v>
      </c>
      <c r="B690" t="s">
        <v>38</v>
      </c>
      <c r="C690">
        <v>0</v>
      </c>
      <c r="D690">
        <v>0</v>
      </c>
      <c r="G690">
        <v>0</v>
      </c>
      <c r="H690">
        <v>0</v>
      </c>
      <c r="I690">
        <f t="shared" si="40"/>
        <v>0</v>
      </c>
      <c r="J690">
        <f t="shared" si="41"/>
        <v>0</v>
      </c>
      <c r="K690">
        <f t="shared" si="42"/>
        <v>0</v>
      </c>
      <c r="L690">
        <f t="shared" si="43"/>
        <v>0</v>
      </c>
    </row>
    <row r="691" spans="1:12" x14ac:dyDescent="0.25">
      <c r="A691" t="s">
        <v>814</v>
      </c>
      <c r="B691" t="s">
        <v>38</v>
      </c>
      <c r="C691">
        <v>12</v>
      </c>
      <c r="D691">
        <v>12</v>
      </c>
      <c r="G691">
        <v>24</v>
      </c>
      <c r="H691">
        <v>0</v>
      </c>
      <c r="I691">
        <f t="shared" si="40"/>
        <v>1</v>
      </c>
      <c r="J691">
        <f t="shared" si="41"/>
        <v>0</v>
      </c>
      <c r="K691">
        <f t="shared" si="42"/>
        <v>0</v>
      </c>
      <c r="L691">
        <f t="shared" si="43"/>
        <v>1</v>
      </c>
    </row>
    <row r="692" spans="1:12" x14ac:dyDescent="0.25">
      <c r="A692" t="s">
        <v>815</v>
      </c>
      <c r="B692" t="s">
        <v>38</v>
      </c>
      <c r="C692">
        <v>12</v>
      </c>
      <c r="D692">
        <v>0</v>
      </c>
      <c r="G692">
        <v>12</v>
      </c>
      <c r="H692">
        <v>0</v>
      </c>
      <c r="I692">
        <f t="shared" si="40"/>
        <v>1</v>
      </c>
      <c r="J692">
        <f t="shared" si="41"/>
        <v>0</v>
      </c>
      <c r="K692">
        <f t="shared" si="42"/>
        <v>0</v>
      </c>
      <c r="L692">
        <f t="shared" si="43"/>
        <v>0</v>
      </c>
    </row>
    <row r="693" spans="1:12" x14ac:dyDescent="0.25">
      <c r="A693" t="s">
        <v>816</v>
      </c>
      <c r="B693" t="s">
        <v>38</v>
      </c>
      <c r="C693">
        <v>8</v>
      </c>
      <c r="D693">
        <v>8</v>
      </c>
      <c r="G693">
        <v>16</v>
      </c>
      <c r="H693">
        <v>0</v>
      </c>
      <c r="I693">
        <f t="shared" si="40"/>
        <v>1</v>
      </c>
      <c r="J693">
        <f t="shared" si="41"/>
        <v>0</v>
      </c>
      <c r="K693">
        <f t="shared" si="42"/>
        <v>0</v>
      </c>
      <c r="L693">
        <f t="shared" si="43"/>
        <v>1</v>
      </c>
    </row>
    <row r="694" spans="1:12" x14ac:dyDescent="0.25">
      <c r="A694" t="s">
        <v>817</v>
      </c>
      <c r="B694" t="s">
        <v>38</v>
      </c>
      <c r="C694">
        <v>3</v>
      </c>
      <c r="D694">
        <v>12</v>
      </c>
      <c r="G694">
        <v>15</v>
      </c>
      <c r="H694">
        <v>0</v>
      </c>
      <c r="I694">
        <f t="shared" si="40"/>
        <v>1</v>
      </c>
      <c r="J694">
        <f t="shared" si="41"/>
        <v>0</v>
      </c>
      <c r="K694">
        <f t="shared" si="42"/>
        <v>0</v>
      </c>
      <c r="L694">
        <f t="shared" si="43"/>
        <v>1</v>
      </c>
    </row>
    <row r="695" spans="1:12" x14ac:dyDescent="0.25">
      <c r="A695" t="s">
        <v>818</v>
      </c>
      <c r="B695" t="s">
        <v>38</v>
      </c>
      <c r="C695">
        <v>12</v>
      </c>
      <c r="D695">
        <v>0</v>
      </c>
      <c r="G695">
        <v>12</v>
      </c>
      <c r="H695">
        <v>0</v>
      </c>
      <c r="I695">
        <f t="shared" si="40"/>
        <v>1</v>
      </c>
      <c r="J695">
        <f t="shared" si="41"/>
        <v>0</v>
      </c>
      <c r="K695">
        <f t="shared" si="42"/>
        <v>0</v>
      </c>
      <c r="L695">
        <f t="shared" si="43"/>
        <v>0</v>
      </c>
    </row>
    <row r="696" spans="1:12" x14ac:dyDescent="0.25">
      <c r="A696" t="s">
        <v>819</v>
      </c>
      <c r="B696" t="s">
        <v>38</v>
      </c>
      <c r="C696">
        <v>46</v>
      </c>
      <c r="D696">
        <v>0</v>
      </c>
      <c r="G696">
        <v>46</v>
      </c>
      <c r="H696">
        <v>0</v>
      </c>
      <c r="I696">
        <f t="shared" si="40"/>
        <v>1</v>
      </c>
      <c r="J696">
        <f t="shared" si="41"/>
        <v>0</v>
      </c>
      <c r="K696">
        <f t="shared" si="42"/>
        <v>0</v>
      </c>
      <c r="L696">
        <f t="shared" si="43"/>
        <v>0</v>
      </c>
    </row>
    <row r="697" spans="1:12" x14ac:dyDescent="0.25">
      <c r="A697" t="s">
        <v>820</v>
      </c>
      <c r="B697" t="s">
        <v>38</v>
      </c>
      <c r="C697">
        <v>11</v>
      </c>
      <c r="D697">
        <v>6</v>
      </c>
      <c r="G697">
        <v>17</v>
      </c>
      <c r="H697">
        <v>0</v>
      </c>
      <c r="I697">
        <f t="shared" si="40"/>
        <v>1</v>
      </c>
      <c r="J697">
        <f t="shared" si="41"/>
        <v>0</v>
      </c>
      <c r="K697">
        <f t="shared" si="42"/>
        <v>0</v>
      </c>
      <c r="L697">
        <f t="shared" si="43"/>
        <v>1</v>
      </c>
    </row>
    <row r="698" spans="1:12" x14ac:dyDescent="0.25">
      <c r="A698" t="s">
        <v>821</v>
      </c>
      <c r="B698" t="s">
        <v>38</v>
      </c>
      <c r="C698">
        <v>8</v>
      </c>
      <c r="D698">
        <v>6.5</v>
      </c>
      <c r="G698">
        <v>14.5</v>
      </c>
      <c r="H698">
        <v>0</v>
      </c>
      <c r="I698">
        <f t="shared" si="40"/>
        <v>1</v>
      </c>
      <c r="J698">
        <f t="shared" si="41"/>
        <v>0</v>
      </c>
      <c r="K698">
        <f t="shared" si="42"/>
        <v>0</v>
      </c>
      <c r="L698">
        <f t="shared" si="43"/>
        <v>1</v>
      </c>
    </row>
    <row r="699" spans="1:12" x14ac:dyDescent="0.25">
      <c r="A699" t="s">
        <v>822</v>
      </c>
      <c r="B699" t="s">
        <v>38</v>
      </c>
      <c r="C699">
        <v>12</v>
      </c>
      <c r="D699">
        <v>0</v>
      </c>
      <c r="G699">
        <v>12</v>
      </c>
      <c r="H699">
        <v>0</v>
      </c>
      <c r="I699">
        <f t="shared" si="40"/>
        <v>1</v>
      </c>
      <c r="J699">
        <f t="shared" si="41"/>
        <v>0</v>
      </c>
      <c r="K699">
        <f t="shared" si="42"/>
        <v>0</v>
      </c>
      <c r="L699">
        <f t="shared" si="43"/>
        <v>0</v>
      </c>
    </row>
    <row r="700" spans="1:12" x14ac:dyDescent="0.25">
      <c r="A700" t="s">
        <v>823</v>
      </c>
      <c r="B700" t="s">
        <v>38</v>
      </c>
      <c r="C700">
        <v>0</v>
      </c>
      <c r="D700">
        <v>12</v>
      </c>
      <c r="G700">
        <v>12</v>
      </c>
      <c r="H700">
        <v>0</v>
      </c>
      <c r="I700">
        <f t="shared" si="40"/>
        <v>0</v>
      </c>
      <c r="J700">
        <f t="shared" si="41"/>
        <v>0</v>
      </c>
      <c r="K700">
        <f t="shared" si="42"/>
        <v>0</v>
      </c>
      <c r="L700">
        <f t="shared" si="43"/>
        <v>1</v>
      </c>
    </row>
    <row r="701" spans="1:12" x14ac:dyDescent="0.25">
      <c r="A701" t="s">
        <v>824</v>
      </c>
      <c r="B701" t="s">
        <v>38</v>
      </c>
      <c r="C701">
        <v>11</v>
      </c>
      <c r="D701">
        <v>11</v>
      </c>
      <c r="G701">
        <v>22</v>
      </c>
      <c r="H701">
        <v>0</v>
      </c>
      <c r="I701">
        <f t="shared" si="40"/>
        <v>1</v>
      </c>
      <c r="J701">
        <f t="shared" si="41"/>
        <v>0</v>
      </c>
      <c r="K701">
        <f t="shared" si="42"/>
        <v>0</v>
      </c>
      <c r="L701">
        <f t="shared" si="43"/>
        <v>1</v>
      </c>
    </row>
    <row r="702" spans="1:12" x14ac:dyDescent="0.25">
      <c r="A702" t="s">
        <v>825</v>
      </c>
      <c r="B702" t="s">
        <v>38</v>
      </c>
      <c r="C702">
        <v>6</v>
      </c>
      <c r="D702">
        <v>12</v>
      </c>
      <c r="G702">
        <v>18</v>
      </c>
      <c r="H702">
        <v>0</v>
      </c>
      <c r="I702">
        <f t="shared" si="40"/>
        <v>1</v>
      </c>
      <c r="J702">
        <f t="shared" si="41"/>
        <v>0</v>
      </c>
      <c r="K702">
        <f t="shared" si="42"/>
        <v>0</v>
      </c>
      <c r="L702">
        <f t="shared" si="43"/>
        <v>1</v>
      </c>
    </row>
    <row r="703" spans="1:12" x14ac:dyDescent="0.25">
      <c r="A703" t="s">
        <v>826</v>
      </c>
      <c r="B703" t="s">
        <v>38</v>
      </c>
      <c r="C703">
        <v>6</v>
      </c>
      <c r="D703">
        <v>0</v>
      </c>
      <c r="G703">
        <v>6</v>
      </c>
      <c r="H703">
        <v>0</v>
      </c>
      <c r="I703">
        <f t="shared" si="40"/>
        <v>1</v>
      </c>
      <c r="J703">
        <f t="shared" si="41"/>
        <v>0</v>
      </c>
      <c r="K703">
        <f t="shared" si="42"/>
        <v>0</v>
      </c>
      <c r="L703">
        <f t="shared" si="43"/>
        <v>0</v>
      </c>
    </row>
    <row r="704" spans="1:12" x14ac:dyDescent="0.25">
      <c r="A704" t="s">
        <v>827</v>
      </c>
      <c r="B704" t="s">
        <v>38</v>
      </c>
      <c r="C704">
        <v>9</v>
      </c>
      <c r="D704">
        <v>15</v>
      </c>
      <c r="G704">
        <v>24</v>
      </c>
      <c r="H704">
        <v>0</v>
      </c>
      <c r="I704">
        <f t="shared" si="40"/>
        <v>1</v>
      </c>
      <c r="J704">
        <f t="shared" si="41"/>
        <v>0</v>
      </c>
      <c r="K704">
        <f t="shared" si="42"/>
        <v>0</v>
      </c>
      <c r="L704">
        <f t="shared" si="43"/>
        <v>1</v>
      </c>
    </row>
    <row r="705" spans="1:12" x14ac:dyDescent="0.25">
      <c r="A705" t="s">
        <v>828</v>
      </c>
      <c r="B705" t="s">
        <v>38</v>
      </c>
      <c r="C705">
        <v>12</v>
      </c>
      <c r="D705">
        <v>0</v>
      </c>
      <c r="G705">
        <v>12</v>
      </c>
      <c r="H705">
        <v>0</v>
      </c>
      <c r="I705">
        <f t="shared" si="40"/>
        <v>1</v>
      </c>
      <c r="J705">
        <f t="shared" si="41"/>
        <v>0</v>
      </c>
      <c r="K705">
        <f t="shared" si="42"/>
        <v>0</v>
      </c>
      <c r="L705">
        <f t="shared" si="43"/>
        <v>0</v>
      </c>
    </row>
    <row r="706" spans="1:12" x14ac:dyDescent="0.25">
      <c r="A706" t="s">
        <v>829</v>
      </c>
      <c r="B706" t="s">
        <v>38</v>
      </c>
      <c r="C706">
        <v>6</v>
      </c>
      <c r="D706">
        <v>0</v>
      </c>
      <c r="G706">
        <v>6</v>
      </c>
      <c r="H706">
        <v>0</v>
      </c>
      <c r="I706">
        <f t="shared" si="40"/>
        <v>1</v>
      </c>
      <c r="J706">
        <f t="shared" si="41"/>
        <v>0</v>
      </c>
      <c r="K706">
        <f t="shared" si="42"/>
        <v>0</v>
      </c>
      <c r="L706">
        <f t="shared" si="43"/>
        <v>0</v>
      </c>
    </row>
    <row r="707" spans="1:12" x14ac:dyDescent="0.25">
      <c r="A707" t="s">
        <v>830</v>
      </c>
      <c r="B707" t="s">
        <v>170</v>
      </c>
      <c r="C707">
        <v>4</v>
      </c>
      <c r="D707">
        <v>0</v>
      </c>
      <c r="G707">
        <v>4</v>
      </c>
      <c r="H707">
        <v>0</v>
      </c>
      <c r="I707">
        <f t="shared" ref="I707:I770" si="44">IF(C707&gt;0, 1, 0)</f>
        <v>1</v>
      </c>
      <c r="J707">
        <f t="shared" ref="J707:J770" si="45">IF(E707&gt;0, 1,0)</f>
        <v>0</v>
      </c>
      <c r="K707">
        <f t="shared" ref="K707:K770" si="46">IF(F707&gt;0, 1, 0)</f>
        <v>0</v>
      </c>
      <c r="L707">
        <f t="shared" ref="L707:L770" si="47">IF(D707&gt;0, 1, 0)</f>
        <v>0</v>
      </c>
    </row>
    <row r="708" spans="1:12" x14ac:dyDescent="0.25">
      <c r="A708" t="s">
        <v>831</v>
      </c>
      <c r="B708" t="s">
        <v>170</v>
      </c>
      <c r="C708">
        <v>24</v>
      </c>
      <c r="D708">
        <v>52</v>
      </c>
      <c r="G708">
        <v>76</v>
      </c>
      <c r="H708">
        <v>0</v>
      </c>
      <c r="I708">
        <f t="shared" si="44"/>
        <v>1</v>
      </c>
      <c r="J708">
        <f t="shared" si="45"/>
        <v>0</v>
      </c>
      <c r="K708">
        <f t="shared" si="46"/>
        <v>0</v>
      </c>
      <c r="L708">
        <f t="shared" si="47"/>
        <v>1</v>
      </c>
    </row>
    <row r="709" spans="1:12" x14ac:dyDescent="0.25">
      <c r="A709" t="s">
        <v>832</v>
      </c>
      <c r="B709" t="s">
        <v>833</v>
      </c>
      <c r="C709">
        <v>2</v>
      </c>
      <c r="D709">
        <v>24</v>
      </c>
      <c r="G709">
        <v>26</v>
      </c>
      <c r="H709">
        <v>0</v>
      </c>
      <c r="I709">
        <f t="shared" si="44"/>
        <v>1</v>
      </c>
      <c r="J709">
        <f t="shared" si="45"/>
        <v>0</v>
      </c>
      <c r="K709">
        <f t="shared" si="46"/>
        <v>0</v>
      </c>
      <c r="L709">
        <f t="shared" si="47"/>
        <v>1</v>
      </c>
    </row>
    <row r="710" spans="1:12" x14ac:dyDescent="0.25">
      <c r="A710" t="s">
        <v>834</v>
      </c>
      <c r="B710" t="s">
        <v>833</v>
      </c>
      <c r="C710">
        <v>12</v>
      </c>
      <c r="D710">
        <v>0</v>
      </c>
      <c r="G710">
        <v>12</v>
      </c>
      <c r="H710">
        <v>0</v>
      </c>
      <c r="I710">
        <f t="shared" si="44"/>
        <v>1</v>
      </c>
      <c r="J710">
        <f t="shared" si="45"/>
        <v>0</v>
      </c>
      <c r="K710">
        <f t="shared" si="46"/>
        <v>0</v>
      </c>
      <c r="L710">
        <f t="shared" si="47"/>
        <v>0</v>
      </c>
    </row>
    <row r="711" spans="1:12" x14ac:dyDescent="0.25">
      <c r="A711" t="s">
        <v>835</v>
      </c>
      <c r="B711" t="s">
        <v>833</v>
      </c>
      <c r="C711">
        <v>12</v>
      </c>
      <c r="D711">
        <v>0</v>
      </c>
      <c r="G711">
        <v>12</v>
      </c>
      <c r="H711">
        <v>0</v>
      </c>
      <c r="I711">
        <f t="shared" si="44"/>
        <v>1</v>
      </c>
      <c r="J711">
        <f t="shared" si="45"/>
        <v>0</v>
      </c>
      <c r="K711">
        <f t="shared" si="46"/>
        <v>0</v>
      </c>
      <c r="L711">
        <f t="shared" si="47"/>
        <v>0</v>
      </c>
    </row>
    <row r="712" spans="1:12" x14ac:dyDescent="0.25">
      <c r="A712" t="s">
        <v>836</v>
      </c>
      <c r="B712" t="s">
        <v>172</v>
      </c>
      <c r="C712">
        <v>6</v>
      </c>
      <c r="D712">
        <v>6</v>
      </c>
      <c r="G712">
        <v>12</v>
      </c>
      <c r="H712">
        <v>0</v>
      </c>
      <c r="I712">
        <f t="shared" si="44"/>
        <v>1</v>
      </c>
      <c r="J712">
        <f t="shared" si="45"/>
        <v>0</v>
      </c>
      <c r="K712">
        <f t="shared" si="46"/>
        <v>0</v>
      </c>
      <c r="L712">
        <f t="shared" si="47"/>
        <v>1</v>
      </c>
    </row>
    <row r="713" spans="1:12" x14ac:dyDescent="0.25">
      <c r="A713" t="s">
        <v>837</v>
      </c>
      <c r="B713" t="s">
        <v>172</v>
      </c>
      <c r="C713">
        <v>6</v>
      </c>
      <c r="D713">
        <v>6</v>
      </c>
      <c r="G713">
        <v>12</v>
      </c>
      <c r="H713">
        <v>0</v>
      </c>
      <c r="I713">
        <f t="shared" si="44"/>
        <v>1</v>
      </c>
      <c r="J713">
        <f t="shared" si="45"/>
        <v>0</v>
      </c>
      <c r="K713">
        <f t="shared" si="46"/>
        <v>0</v>
      </c>
      <c r="L713">
        <f t="shared" si="47"/>
        <v>1</v>
      </c>
    </row>
    <row r="714" spans="1:12" x14ac:dyDescent="0.25">
      <c r="A714" t="s">
        <v>838</v>
      </c>
      <c r="B714" t="s">
        <v>172</v>
      </c>
      <c r="C714">
        <v>2</v>
      </c>
      <c r="D714">
        <v>0</v>
      </c>
      <c r="G714">
        <v>2</v>
      </c>
      <c r="H714">
        <v>0</v>
      </c>
      <c r="I714">
        <f t="shared" si="44"/>
        <v>1</v>
      </c>
      <c r="J714">
        <f t="shared" si="45"/>
        <v>0</v>
      </c>
      <c r="K714">
        <f t="shared" si="46"/>
        <v>0</v>
      </c>
      <c r="L714">
        <f t="shared" si="47"/>
        <v>0</v>
      </c>
    </row>
    <row r="715" spans="1:12" x14ac:dyDescent="0.25">
      <c r="A715" t="s">
        <v>839</v>
      </c>
      <c r="B715" t="s">
        <v>840</v>
      </c>
      <c r="C715">
        <v>4</v>
      </c>
      <c r="D715">
        <v>6</v>
      </c>
      <c r="G715">
        <v>10</v>
      </c>
      <c r="H715">
        <v>0</v>
      </c>
      <c r="I715">
        <f t="shared" si="44"/>
        <v>1</v>
      </c>
      <c r="J715">
        <f t="shared" si="45"/>
        <v>0</v>
      </c>
      <c r="K715">
        <f t="shared" si="46"/>
        <v>0</v>
      </c>
      <c r="L715">
        <f t="shared" si="47"/>
        <v>1</v>
      </c>
    </row>
    <row r="716" spans="1:12" x14ac:dyDescent="0.25">
      <c r="A716" t="s">
        <v>841</v>
      </c>
      <c r="B716" t="s">
        <v>174</v>
      </c>
      <c r="C716">
        <v>6</v>
      </c>
      <c r="D716">
        <v>0</v>
      </c>
      <c r="G716">
        <v>6</v>
      </c>
      <c r="H716">
        <v>0</v>
      </c>
      <c r="I716">
        <f t="shared" si="44"/>
        <v>1</v>
      </c>
      <c r="J716">
        <f t="shared" si="45"/>
        <v>0</v>
      </c>
      <c r="K716">
        <f t="shared" si="46"/>
        <v>0</v>
      </c>
      <c r="L716">
        <f t="shared" si="47"/>
        <v>0</v>
      </c>
    </row>
    <row r="717" spans="1:12" x14ac:dyDescent="0.25">
      <c r="A717" t="s">
        <v>842</v>
      </c>
      <c r="B717" t="s">
        <v>174</v>
      </c>
      <c r="C717">
        <v>12</v>
      </c>
      <c r="D717">
        <v>6</v>
      </c>
      <c r="G717">
        <v>18</v>
      </c>
      <c r="H717">
        <v>0</v>
      </c>
      <c r="I717">
        <f t="shared" si="44"/>
        <v>1</v>
      </c>
      <c r="J717">
        <f t="shared" si="45"/>
        <v>0</v>
      </c>
      <c r="K717">
        <f t="shared" si="46"/>
        <v>0</v>
      </c>
      <c r="L717">
        <f t="shared" si="47"/>
        <v>1</v>
      </c>
    </row>
    <row r="718" spans="1:12" x14ac:dyDescent="0.25">
      <c r="A718" t="s">
        <v>843</v>
      </c>
      <c r="B718" t="s">
        <v>174</v>
      </c>
      <c r="C718">
        <v>12</v>
      </c>
      <c r="D718">
        <v>0</v>
      </c>
      <c r="G718">
        <v>12</v>
      </c>
      <c r="H718">
        <v>0</v>
      </c>
      <c r="I718">
        <f t="shared" si="44"/>
        <v>1</v>
      </c>
      <c r="J718">
        <f t="shared" si="45"/>
        <v>0</v>
      </c>
      <c r="K718">
        <f t="shared" si="46"/>
        <v>0</v>
      </c>
      <c r="L718">
        <f t="shared" si="47"/>
        <v>0</v>
      </c>
    </row>
    <row r="719" spans="1:12" x14ac:dyDescent="0.25">
      <c r="A719" t="s">
        <v>844</v>
      </c>
      <c r="B719" t="s">
        <v>174</v>
      </c>
      <c r="C719">
        <v>12</v>
      </c>
      <c r="D719">
        <v>0</v>
      </c>
      <c r="G719">
        <v>12</v>
      </c>
      <c r="H719">
        <v>0</v>
      </c>
      <c r="I719">
        <f t="shared" si="44"/>
        <v>1</v>
      </c>
      <c r="J719">
        <f t="shared" si="45"/>
        <v>0</v>
      </c>
      <c r="K719">
        <f t="shared" si="46"/>
        <v>0</v>
      </c>
      <c r="L719">
        <f t="shared" si="47"/>
        <v>0</v>
      </c>
    </row>
    <row r="720" spans="1:12" x14ac:dyDescent="0.25">
      <c r="A720" t="s">
        <v>845</v>
      </c>
      <c r="B720" t="s">
        <v>174</v>
      </c>
      <c r="C720">
        <v>9</v>
      </c>
      <c r="D720">
        <v>3</v>
      </c>
      <c r="G720">
        <v>12</v>
      </c>
      <c r="H720">
        <v>0</v>
      </c>
      <c r="I720">
        <f t="shared" si="44"/>
        <v>1</v>
      </c>
      <c r="J720">
        <f t="shared" si="45"/>
        <v>0</v>
      </c>
      <c r="K720">
        <f t="shared" si="46"/>
        <v>0</v>
      </c>
      <c r="L720">
        <f t="shared" si="47"/>
        <v>1</v>
      </c>
    </row>
    <row r="721" spans="1:12" x14ac:dyDescent="0.25">
      <c r="A721" t="s">
        <v>846</v>
      </c>
      <c r="B721" t="s">
        <v>174</v>
      </c>
      <c r="C721">
        <v>12</v>
      </c>
      <c r="D721">
        <v>0</v>
      </c>
      <c r="G721">
        <v>12</v>
      </c>
      <c r="H721">
        <v>0</v>
      </c>
      <c r="I721">
        <f t="shared" si="44"/>
        <v>1</v>
      </c>
      <c r="J721">
        <f t="shared" si="45"/>
        <v>0</v>
      </c>
      <c r="K721">
        <f t="shared" si="46"/>
        <v>0</v>
      </c>
      <c r="L721">
        <f t="shared" si="47"/>
        <v>0</v>
      </c>
    </row>
    <row r="722" spans="1:12" x14ac:dyDescent="0.25">
      <c r="A722" t="s">
        <v>847</v>
      </c>
      <c r="B722" t="s">
        <v>174</v>
      </c>
      <c r="C722">
        <v>12</v>
      </c>
      <c r="D722">
        <v>6</v>
      </c>
      <c r="G722">
        <v>18</v>
      </c>
      <c r="H722">
        <v>0</v>
      </c>
      <c r="I722">
        <f t="shared" si="44"/>
        <v>1</v>
      </c>
      <c r="J722">
        <f t="shared" si="45"/>
        <v>0</v>
      </c>
      <c r="K722">
        <f t="shared" si="46"/>
        <v>0</v>
      </c>
      <c r="L722">
        <f t="shared" si="47"/>
        <v>1</v>
      </c>
    </row>
    <row r="723" spans="1:12" x14ac:dyDescent="0.25">
      <c r="A723" t="s">
        <v>848</v>
      </c>
      <c r="B723" t="s">
        <v>174</v>
      </c>
      <c r="C723">
        <v>12</v>
      </c>
      <c r="D723">
        <v>8</v>
      </c>
      <c r="G723">
        <v>20</v>
      </c>
      <c r="H723">
        <v>0</v>
      </c>
      <c r="I723">
        <f t="shared" si="44"/>
        <v>1</v>
      </c>
      <c r="J723">
        <f t="shared" si="45"/>
        <v>0</v>
      </c>
      <c r="K723">
        <f t="shared" si="46"/>
        <v>0</v>
      </c>
      <c r="L723">
        <f t="shared" si="47"/>
        <v>1</v>
      </c>
    </row>
    <row r="724" spans="1:12" x14ac:dyDescent="0.25">
      <c r="A724" t="s">
        <v>849</v>
      </c>
      <c r="B724" t="s">
        <v>174</v>
      </c>
      <c r="C724">
        <v>12</v>
      </c>
      <c r="D724">
        <v>0</v>
      </c>
      <c r="G724">
        <v>12</v>
      </c>
      <c r="H724">
        <v>0</v>
      </c>
      <c r="I724">
        <f t="shared" si="44"/>
        <v>1</v>
      </c>
      <c r="J724">
        <f t="shared" si="45"/>
        <v>0</v>
      </c>
      <c r="K724">
        <f t="shared" si="46"/>
        <v>0</v>
      </c>
      <c r="L724">
        <f t="shared" si="47"/>
        <v>0</v>
      </c>
    </row>
    <row r="725" spans="1:12" x14ac:dyDescent="0.25">
      <c r="A725" t="s">
        <v>850</v>
      </c>
      <c r="B725" t="s">
        <v>174</v>
      </c>
      <c r="C725">
        <v>6</v>
      </c>
      <c r="D725">
        <v>6</v>
      </c>
      <c r="G725">
        <v>12</v>
      </c>
      <c r="H725">
        <v>0</v>
      </c>
      <c r="I725">
        <f t="shared" si="44"/>
        <v>1</v>
      </c>
      <c r="J725">
        <f t="shared" si="45"/>
        <v>0</v>
      </c>
      <c r="K725">
        <f t="shared" si="46"/>
        <v>0</v>
      </c>
      <c r="L725">
        <f t="shared" si="47"/>
        <v>1</v>
      </c>
    </row>
    <row r="726" spans="1:12" x14ac:dyDescent="0.25">
      <c r="A726" t="s">
        <v>851</v>
      </c>
      <c r="B726" t="s">
        <v>174</v>
      </c>
      <c r="C726">
        <v>17</v>
      </c>
      <c r="D726">
        <v>0</v>
      </c>
      <c r="G726">
        <v>17</v>
      </c>
      <c r="H726">
        <v>0</v>
      </c>
      <c r="I726">
        <f t="shared" si="44"/>
        <v>1</v>
      </c>
      <c r="J726">
        <f t="shared" si="45"/>
        <v>0</v>
      </c>
      <c r="K726">
        <f t="shared" si="46"/>
        <v>0</v>
      </c>
      <c r="L726">
        <f t="shared" si="47"/>
        <v>0</v>
      </c>
    </row>
    <row r="727" spans="1:12" x14ac:dyDescent="0.25">
      <c r="A727" t="s">
        <v>852</v>
      </c>
      <c r="B727" t="s">
        <v>174</v>
      </c>
      <c r="C727">
        <v>4</v>
      </c>
      <c r="D727">
        <v>0</v>
      </c>
      <c r="G727">
        <v>4</v>
      </c>
      <c r="H727">
        <v>0</v>
      </c>
      <c r="I727">
        <f t="shared" si="44"/>
        <v>1</v>
      </c>
      <c r="J727">
        <f t="shared" si="45"/>
        <v>0</v>
      </c>
      <c r="K727">
        <f t="shared" si="46"/>
        <v>0</v>
      </c>
      <c r="L727">
        <f t="shared" si="47"/>
        <v>0</v>
      </c>
    </row>
    <row r="728" spans="1:12" x14ac:dyDescent="0.25">
      <c r="A728" t="s">
        <v>853</v>
      </c>
      <c r="B728" t="s">
        <v>174</v>
      </c>
      <c r="C728">
        <v>15</v>
      </c>
      <c r="D728">
        <v>26</v>
      </c>
      <c r="G728">
        <v>41</v>
      </c>
      <c r="H728">
        <v>0</v>
      </c>
      <c r="I728">
        <f t="shared" si="44"/>
        <v>1</v>
      </c>
      <c r="J728">
        <f t="shared" si="45"/>
        <v>0</v>
      </c>
      <c r="K728">
        <f t="shared" si="46"/>
        <v>0</v>
      </c>
      <c r="L728">
        <f t="shared" si="47"/>
        <v>1</v>
      </c>
    </row>
    <row r="729" spans="1:12" x14ac:dyDescent="0.25">
      <c r="A729" t="s">
        <v>854</v>
      </c>
      <c r="B729" t="s">
        <v>40</v>
      </c>
      <c r="C729">
        <v>14</v>
      </c>
      <c r="D729">
        <v>36</v>
      </c>
      <c r="G729">
        <v>50</v>
      </c>
      <c r="H729">
        <v>0</v>
      </c>
      <c r="I729">
        <f t="shared" si="44"/>
        <v>1</v>
      </c>
      <c r="J729">
        <f t="shared" si="45"/>
        <v>0</v>
      </c>
      <c r="K729">
        <f t="shared" si="46"/>
        <v>0</v>
      </c>
      <c r="L729">
        <f t="shared" si="47"/>
        <v>1</v>
      </c>
    </row>
    <row r="730" spans="1:12" x14ac:dyDescent="0.25">
      <c r="A730" t="s">
        <v>855</v>
      </c>
      <c r="B730" t="s">
        <v>40</v>
      </c>
      <c r="C730">
        <v>8</v>
      </c>
      <c r="D730">
        <v>4</v>
      </c>
      <c r="G730">
        <v>12</v>
      </c>
      <c r="H730">
        <v>0</v>
      </c>
      <c r="I730">
        <f t="shared" si="44"/>
        <v>1</v>
      </c>
      <c r="J730">
        <f t="shared" si="45"/>
        <v>0</v>
      </c>
      <c r="K730">
        <f t="shared" si="46"/>
        <v>0</v>
      </c>
      <c r="L730">
        <f t="shared" si="47"/>
        <v>1</v>
      </c>
    </row>
    <row r="731" spans="1:12" x14ac:dyDescent="0.25">
      <c r="A731" t="s">
        <v>856</v>
      </c>
      <c r="B731" t="s">
        <v>40</v>
      </c>
      <c r="C731">
        <v>6</v>
      </c>
      <c r="D731">
        <v>0</v>
      </c>
      <c r="G731">
        <v>6</v>
      </c>
      <c r="H731">
        <v>0</v>
      </c>
      <c r="I731">
        <f t="shared" si="44"/>
        <v>1</v>
      </c>
      <c r="J731">
        <f t="shared" si="45"/>
        <v>0</v>
      </c>
      <c r="K731">
        <f t="shared" si="46"/>
        <v>0</v>
      </c>
      <c r="L731">
        <f t="shared" si="47"/>
        <v>0</v>
      </c>
    </row>
    <row r="732" spans="1:12" x14ac:dyDescent="0.25">
      <c r="A732" t="s">
        <v>857</v>
      </c>
      <c r="B732" t="s">
        <v>858</v>
      </c>
      <c r="C732">
        <v>0</v>
      </c>
      <c r="E732">
        <v>0</v>
      </c>
      <c r="G732">
        <v>0</v>
      </c>
      <c r="H732">
        <v>0</v>
      </c>
      <c r="I732">
        <f t="shared" si="44"/>
        <v>0</v>
      </c>
      <c r="J732">
        <f t="shared" si="45"/>
        <v>0</v>
      </c>
      <c r="K732">
        <f t="shared" si="46"/>
        <v>0</v>
      </c>
      <c r="L732">
        <f t="shared" si="47"/>
        <v>0</v>
      </c>
    </row>
    <row r="733" spans="1:12" x14ac:dyDescent="0.25">
      <c r="A733" t="s">
        <v>859</v>
      </c>
      <c r="B733" t="s">
        <v>858</v>
      </c>
      <c r="C733">
        <v>12</v>
      </c>
      <c r="D733">
        <v>6</v>
      </c>
      <c r="G733">
        <v>18</v>
      </c>
      <c r="H733">
        <v>0</v>
      </c>
      <c r="I733">
        <f t="shared" si="44"/>
        <v>1</v>
      </c>
      <c r="J733">
        <f t="shared" si="45"/>
        <v>0</v>
      </c>
      <c r="K733">
        <f t="shared" si="46"/>
        <v>0</v>
      </c>
      <c r="L733">
        <f t="shared" si="47"/>
        <v>1</v>
      </c>
    </row>
    <row r="734" spans="1:12" x14ac:dyDescent="0.25">
      <c r="A734" t="s">
        <v>860</v>
      </c>
      <c r="B734" t="s">
        <v>858</v>
      </c>
      <c r="C734">
        <v>4</v>
      </c>
      <c r="D734">
        <v>8</v>
      </c>
      <c r="G734">
        <v>12</v>
      </c>
      <c r="H734">
        <v>0</v>
      </c>
      <c r="I734">
        <f t="shared" si="44"/>
        <v>1</v>
      </c>
      <c r="J734">
        <f t="shared" si="45"/>
        <v>0</v>
      </c>
      <c r="K734">
        <f t="shared" si="46"/>
        <v>0</v>
      </c>
      <c r="L734">
        <f t="shared" si="47"/>
        <v>1</v>
      </c>
    </row>
    <row r="735" spans="1:12" x14ac:dyDescent="0.25">
      <c r="A735" t="s">
        <v>861</v>
      </c>
      <c r="B735" t="s">
        <v>858</v>
      </c>
      <c r="C735">
        <v>12</v>
      </c>
      <c r="D735">
        <v>0</v>
      </c>
      <c r="G735">
        <v>12</v>
      </c>
      <c r="H735">
        <v>0</v>
      </c>
      <c r="I735">
        <f t="shared" si="44"/>
        <v>1</v>
      </c>
      <c r="J735">
        <f t="shared" si="45"/>
        <v>0</v>
      </c>
      <c r="K735">
        <f t="shared" si="46"/>
        <v>0</v>
      </c>
      <c r="L735">
        <f t="shared" si="47"/>
        <v>0</v>
      </c>
    </row>
    <row r="736" spans="1:12" x14ac:dyDescent="0.25">
      <c r="A736" t="s">
        <v>862</v>
      </c>
      <c r="B736" t="s">
        <v>42</v>
      </c>
      <c r="C736">
        <v>8</v>
      </c>
      <c r="D736">
        <v>0</v>
      </c>
      <c r="G736">
        <v>8</v>
      </c>
      <c r="H736">
        <v>0</v>
      </c>
      <c r="I736">
        <f t="shared" si="44"/>
        <v>1</v>
      </c>
      <c r="J736">
        <f t="shared" si="45"/>
        <v>0</v>
      </c>
      <c r="K736">
        <f t="shared" si="46"/>
        <v>0</v>
      </c>
      <c r="L736">
        <f t="shared" si="47"/>
        <v>0</v>
      </c>
    </row>
    <row r="737" spans="1:12" x14ac:dyDescent="0.25">
      <c r="A737" t="s">
        <v>863</v>
      </c>
      <c r="B737" t="s">
        <v>42</v>
      </c>
      <c r="C737">
        <v>12</v>
      </c>
      <c r="D737">
        <v>0</v>
      </c>
      <c r="G737">
        <v>12</v>
      </c>
      <c r="H737">
        <v>0</v>
      </c>
      <c r="I737">
        <f t="shared" si="44"/>
        <v>1</v>
      </c>
      <c r="J737">
        <f t="shared" si="45"/>
        <v>0</v>
      </c>
      <c r="K737">
        <f t="shared" si="46"/>
        <v>0</v>
      </c>
      <c r="L737">
        <f t="shared" si="47"/>
        <v>0</v>
      </c>
    </row>
    <row r="738" spans="1:12" x14ac:dyDescent="0.25">
      <c r="A738" t="s">
        <v>864</v>
      </c>
      <c r="B738" t="s">
        <v>42</v>
      </c>
      <c r="C738">
        <v>8</v>
      </c>
      <c r="D738">
        <v>8</v>
      </c>
      <c r="G738">
        <v>16</v>
      </c>
      <c r="H738">
        <v>0</v>
      </c>
      <c r="I738">
        <f t="shared" si="44"/>
        <v>1</v>
      </c>
      <c r="J738">
        <f t="shared" si="45"/>
        <v>0</v>
      </c>
      <c r="K738">
        <f t="shared" si="46"/>
        <v>0</v>
      </c>
      <c r="L738">
        <f t="shared" si="47"/>
        <v>1</v>
      </c>
    </row>
    <row r="739" spans="1:12" x14ac:dyDescent="0.25">
      <c r="A739" t="s">
        <v>865</v>
      </c>
      <c r="B739" t="s">
        <v>42</v>
      </c>
      <c r="C739">
        <v>12</v>
      </c>
      <c r="D739">
        <v>0</v>
      </c>
      <c r="G739">
        <v>12</v>
      </c>
      <c r="H739">
        <v>0</v>
      </c>
      <c r="I739">
        <f t="shared" si="44"/>
        <v>1</v>
      </c>
      <c r="J739">
        <f t="shared" si="45"/>
        <v>0</v>
      </c>
      <c r="K739">
        <f t="shared" si="46"/>
        <v>0</v>
      </c>
      <c r="L739">
        <f t="shared" si="47"/>
        <v>0</v>
      </c>
    </row>
    <row r="740" spans="1:12" x14ac:dyDescent="0.25">
      <c r="A740" t="s">
        <v>866</v>
      </c>
      <c r="B740" t="s">
        <v>42</v>
      </c>
      <c r="C740">
        <v>2</v>
      </c>
      <c r="D740">
        <v>10</v>
      </c>
      <c r="G740">
        <v>12</v>
      </c>
      <c r="H740">
        <v>0</v>
      </c>
      <c r="I740">
        <f t="shared" si="44"/>
        <v>1</v>
      </c>
      <c r="J740">
        <f t="shared" si="45"/>
        <v>0</v>
      </c>
      <c r="K740">
        <f t="shared" si="46"/>
        <v>0</v>
      </c>
      <c r="L740">
        <f t="shared" si="47"/>
        <v>1</v>
      </c>
    </row>
    <row r="741" spans="1:12" x14ac:dyDescent="0.25">
      <c r="A741" t="s">
        <v>867</v>
      </c>
      <c r="B741" t="s">
        <v>42</v>
      </c>
      <c r="C741">
        <v>0</v>
      </c>
      <c r="D741">
        <v>12</v>
      </c>
      <c r="G741">
        <v>12</v>
      </c>
      <c r="H741">
        <v>0</v>
      </c>
      <c r="I741">
        <f t="shared" si="44"/>
        <v>0</v>
      </c>
      <c r="J741">
        <f t="shared" si="45"/>
        <v>0</v>
      </c>
      <c r="K741">
        <f t="shared" si="46"/>
        <v>0</v>
      </c>
      <c r="L741">
        <f t="shared" si="47"/>
        <v>1</v>
      </c>
    </row>
    <row r="742" spans="1:12" x14ac:dyDescent="0.25">
      <c r="A742" t="s">
        <v>868</v>
      </c>
      <c r="B742" t="s">
        <v>42</v>
      </c>
      <c r="C742">
        <v>6</v>
      </c>
      <c r="D742">
        <v>6</v>
      </c>
      <c r="G742">
        <v>12</v>
      </c>
      <c r="H742">
        <v>0</v>
      </c>
      <c r="I742">
        <f t="shared" si="44"/>
        <v>1</v>
      </c>
      <c r="J742">
        <f t="shared" si="45"/>
        <v>0</v>
      </c>
      <c r="K742">
        <f t="shared" si="46"/>
        <v>0</v>
      </c>
      <c r="L742">
        <f t="shared" si="47"/>
        <v>1</v>
      </c>
    </row>
    <row r="743" spans="1:12" x14ac:dyDescent="0.25">
      <c r="A743" t="s">
        <v>869</v>
      </c>
      <c r="B743" t="s">
        <v>42</v>
      </c>
      <c r="C743">
        <v>12</v>
      </c>
      <c r="D743">
        <v>0</v>
      </c>
      <c r="G743">
        <v>12</v>
      </c>
      <c r="H743">
        <v>0</v>
      </c>
      <c r="I743">
        <f t="shared" si="44"/>
        <v>1</v>
      </c>
      <c r="J743">
        <f t="shared" si="45"/>
        <v>0</v>
      </c>
      <c r="K743">
        <f t="shared" si="46"/>
        <v>0</v>
      </c>
      <c r="L743">
        <f t="shared" si="47"/>
        <v>0</v>
      </c>
    </row>
    <row r="744" spans="1:12" x14ac:dyDescent="0.25">
      <c r="A744" t="s">
        <v>870</v>
      </c>
      <c r="B744" t="s">
        <v>42</v>
      </c>
      <c r="C744">
        <v>6</v>
      </c>
      <c r="D744">
        <v>6</v>
      </c>
      <c r="G744">
        <v>12</v>
      </c>
      <c r="H744">
        <v>0</v>
      </c>
      <c r="I744">
        <f t="shared" si="44"/>
        <v>1</v>
      </c>
      <c r="J744">
        <f t="shared" si="45"/>
        <v>0</v>
      </c>
      <c r="K744">
        <f t="shared" si="46"/>
        <v>0</v>
      </c>
      <c r="L744">
        <f t="shared" si="47"/>
        <v>1</v>
      </c>
    </row>
    <row r="745" spans="1:12" x14ac:dyDescent="0.25">
      <c r="A745" t="s">
        <v>871</v>
      </c>
      <c r="B745" t="s">
        <v>42</v>
      </c>
      <c r="C745">
        <v>12</v>
      </c>
      <c r="D745">
        <v>0</v>
      </c>
      <c r="G745">
        <v>12</v>
      </c>
      <c r="H745">
        <v>0</v>
      </c>
      <c r="I745">
        <f t="shared" si="44"/>
        <v>1</v>
      </c>
      <c r="J745">
        <f t="shared" si="45"/>
        <v>0</v>
      </c>
      <c r="K745">
        <f t="shared" si="46"/>
        <v>0</v>
      </c>
      <c r="L745">
        <f t="shared" si="47"/>
        <v>0</v>
      </c>
    </row>
    <row r="746" spans="1:12" x14ac:dyDescent="0.25">
      <c r="A746" t="s">
        <v>872</v>
      </c>
      <c r="B746" t="s">
        <v>42</v>
      </c>
      <c r="C746">
        <v>6</v>
      </c>
      <c r="D746">
        <v>6</v>
      </c>
      <c r="G746">
        <v>12</v>
      </c>
      <c r="H746">
        <v>0</v>
      </c>
      <c r="I746">
        <f t="shared" si="44"/>
        <v>1</v>
      </c>
      <c r="J746">
        <f t="shared" si="45"/>
        <v>0</v>
      </c>
      <c r="K746">
        <f t="shared" si="46"/>
        <v>0</v>
      </c>
      <c r="L746">
        <f t="shared" si="47"/>
        <v>1</v>
      </c>
    </row>
    <row r="747" spans="1:12" x14ac:dyDescent="0.25">
      <c r="A747" t="s">
        <v>873</v>
      </c>
      <c r="B747" t="s">
        <v>42</v>
      </c>
      <c r="C747">
        <v>8</v>
      </c>
      <c r="D747">
        <v>0</v>
      </c>
      <c r="G747">
        <v>8</v>
      </c>
      <c r="H747">
        <v>0</v>
      </c>
      <c r="I747">
        <f t="shared" si="44"/>
        <v>1</v>
      </c>
      <c r="J747">
        <f t="shared" si="45"/>
        <v>0</v>
      </c>
      <c r="K747">
        <f t="shared" si="46"/>
        <v>0</v>
      </c>
      <c r="L747">
        <f t="shared" si="47"/>
        <v>0</v>
      </c>
    </row>
    <row r="748" spans="1:12" x14ac:dyDescent="0.25">
      <c r="A748" t="s">
        <v>874</v>
      </c>
      <c r="B748" t="s">
        <v>42</v>
      </c>
      <c r="C748">
        <v>0</v>
      </c>
      <c r="D748">
        <v>6</v>
      </c>
      <c r="G748">
        <v>6</v>
      </c>
      <c r="H748">
        <v>0</v>
      </c>
      <c r="I748">
        <f t="shared" si="44"/>
        <v>0</v>
      </c>
      <c r="J748">
        <f t="shared" si="45"/>
        <v>0</v>
      </c>
      <c r="K748">
        <f t="shared" si="46"/>
        <v>0</v>
      </c>
      <c r="L748">
        <f t="shared" si="47"/>
        <v>1</v>
      </c>
    </row>
    <row r="749" spans="1:12" x14ac:dyDescent="0.25">
      <c r="A749" t="s">
        <v>875</v>
      </c>
      <c r="B749" t="s">
        <v>42</v>
      </c>
      <c r="C749">
        <v>4</v>
      </c>
      <c r="D749">
        <v>1</v>
      </c>
      <c r="G749">
        <v>5</v>
      </c>
      <c r="H749">
        <v>0</v>
      </c>
      <c r="I749">
        <f t="shared" si="44"/>
        <v>1</v>
      </c>
      <c r="J749">
        <f t="shared" si="45"/>
        <v>0</v>
      </c>
      <c r="K749">
        <f t="shared" si="46"/>
        <v>0</v>
      </c>
      <c r="L749">
        <f t="shared" si="47"/>
        <v>1</v>
      </c>
    </row>
    <row r="750" spans="1:12" x14ac:dyDescent="0.25">
      <c r="A750" t="s">
        <v>876</v>
      </c>
      <c r="B750" t="s">
        <v>42</v>
      </c>
      <c r="C750">
        <v>12</v>
      </c>
      <c r="D750">
        <v>0</v>
      </c>
      <c r="G750">
        <v>12</v>
      </c>
      <c r="H750">
        <v>0</v>
      </c>
      <c r="I750">
        <f t="shared" si="44"/>
        <v>1</v>
      </c>
      <c r="J750">
        <f t="shared" si="45"/>
        <v>0</v>
      </c>
      <c r="K750">
        <f t="shared" si="46"/>
        <v>0</v>
      </c>
      <c r="L750">
        <f t="shared" si="47"/>
        <v>0</v>
      </c>
    </row>
    <row r="751" spans="1:12" x14ac:dyDescent="0.25">
      <c r="A751" t="s">
        <v>877</v>
      </c>
      <c r="B751" t="s">
        <v>42</v>
      </c>
      <c r="C751">
        <v>6</v>
      </c>
      <c r="D751">
        <v>0</v>
      </c>
      <c r="G751">
        <v>6</v>
      </c>
      <c r="H751">
        <v>0</v>
      </c>
      <c r="I751">
        <f t="shared" si="44"/>
        <v>1</v>
      </c>
      <c r="J751">
        <f t="shared" si="45"/>
        <v>0</v>
      </c>
      <c r="K751">
        <f t="shared" si="46"/>
        <v>0</v>
      </c>
      <c r="L751">
        <f t="shared" si="47"/>
        <v>0</v>
      </c>
    </row>
    <row r="752" spans="1:12" x14ac:dyDescent="0.25">
      <c r="A752" t="s">
        <v>878</v>
      </c>
      <c r="B752" t="s">
        <v>42</v>
      </c>
      <c r="C752">
        <v>6</v>
      </c>
      <c r="D752">
        <v>0</v>
      </c>
      <c r="G752">
        <v>6</v>
      </c>
      <c r="H752">
        <v>0</v>
      </c>
      <c r="I752">
        <f t="shared" si="44"/>
        <v>1</v>
      </c>
      <c r="J752">
        <f t="shared" si="45"/>
        <v>0</v>
      </c>
      <c r="K752">
        <f t="shared" si="46"/>
        <v>0</v>
      </c>
      <c r="L752">
        <f t="shared" si="47"/>
        <v>0</v>
      </c>
    </row>
    <row r="753" spans="1:12" x14ac:dyDescent="0.25">
      <c r="A753" t="s">
        <v>879</v>
      </c>
      <c r="B753" t="s">
        <v>42</v>
      </c>
      <c r="C753">
        <v>0</v>
      </c>
      <c r="E753">
        <v>0</v>
      </c>
      <c r="G753">
        <v>0</v>
      </c>
      <c r="H753">
        <v>0</v>
      </c>
      <c r="I753">
        <f t="shared" si="44"/>
        <v>0</v>
      </c>
      <c r="J753">
        <f t="shared" si="45"/>
        <v>0</v>
      </c>
      <c r="K753">
        <f t="shared" si="46"/>
        <v>0</v>
      </c>
      <c r="L753">
        <f t="shared" si="47"/>
        <v>0</v>
      </c>
    </row>
    <row r="754" spans="1:12" x14ac:dyDescent="0.25">
      <c r="A754" t="s">
        <v>880</v>
      </c>
      <c r="B754" t="s">
        <v>42</v>
      </c>
      <c r="C754">
        <v>0</v>
      </c>
      <c r="F754">
        <v>0</v>
      </c>
      <c r="G754">
        <v>0</v>
      </c>
      <c r="H754">
        <v>0</v>
      </c>
      <c r="I754">
        <f t="shared" si="44"/>
        <v>0</v>
      </c>
      <c r="J754">
        <f t="shared" si="45"/>
        <v>0</v>
      </c>
      <c r="K754">
        <f t="shared" si="46"/>
        <v>0</v>
      </c>
      <c r="L754">
        <f t="shared" si="47"/>
        <v>0</v>
      </c>
    </row>
    <row r="755" spans="1:12" x14ac:dyDescent="0.25">
      <c r="A755" t="s">
        <v>881</v>
      </c>
      <c r="B755" t="s">
        <v>42</v>
      </c>
      <c r="C755">
        <v>12</v>
      </c>
      <c r="D755">
        <v>0</v>
      </c>
      <c r="G755">
        <v>12</v>
      </c>
      <c r="H755">
        <v>0</v>
      </c>
      <c r="I755">
        <f t="shared" si="44"/>
        <v>1</v>
      </c>
      <c r="J755">
        <f t="shared" si="45"/>
        <v>0</v>
      </c>
      <c r="K755">
        <f t="shared" si="46"/>
        <v>0</v>
      </c>
      <c r="L755">
        <f t="shared" si="47"/>
        <v>0</v>
      </c>
    </row>
    <row r="756" spans="1:12" x14ac:dyDescent="0.25">
      <c r="A756" t="s">
        <v>882</v>
      </c>
      <c r="B756" t="s">
        <v>42</v>
      </c>
      <c r="C756">
        <v>12</v>
      </c>
      <c r="D756">
        <v>0</v>
      </c>
      <c r="G756">
        <v>12</v>
      </c>
      <c r="H756">
        <v>0</v>
      </c>
      <c r="I756">
        <f t="shared" si="44"/>
        <v>1</v>
      </c>
      <c r="J756">
        <f t="shared" si="45"/>
        <v>0</v>
      </c>
      <c r="K756">
        <f t="shared" si="46"/>
        <v>0</v>
      </c>
      <c r="L756">
        <f t="shared" si="47"/>
        <v>0</v>
      </c>
    </row>
    <row r="757" spans="1:12" x14ac:dyDescent="0.25">
      <c r="A757" t="s">
        <v>883</v>
      </c>
      <c r="B757" t="s">
        <v>42</v>
      </c>
      <c r="C757">
        <v>0</v>
      </c>
      <c r="D757">
        <v>12</v>
      </c>
      <c r="G757">
        <v>12</v>
      </c>
      <c r="H757">
        <v>0</v>
      </c>
      <c r="I757">
        <f t="shared" si="44"/>
        <v>0</v>
      </c>
      <c r="J757">
        <f t="shared" si="45"/>
        <v>0</v>
      </c>
      <c r="K757">
        <f t="shared" si="46"/>
        <v>0</v>
      </c>
      <c r="L757">
        <f t="shared" si="47"/>
        <v>1</v>
      </c>
    </row>
    <row r="758" spans="1:12" x14ac:dyDescent="0.25">
      <c r="A758" t="s">
        <v>884</v>
      </c>
      <c r="B758" t="s">
        <v>42</v>
      </c>
      <c r="C758">
        <v>9.5</v>
      </c>
      <c r="D758">
        <v>6</v>
      </c>
      <c r="G758">
        <v>15.5</v>
      </c>
      <c r="H758">
        <v>0</v>
      </c>
      <c r="I758">
        <f t="shared" si="44"/>
        <v>1</v>
      </c>
      <c r="J758">
        <f t="shared" si="45"/>
        <v>0</v>
      </c>
      <c r="K758">
        <f t="shared" si="46"/>
        <v>0</v>
      </c>
      <c r="L758">
        <f t="shared" si="47"/>
        <v>1</v>
      </c>
    </row>
    <row r="759" spans="1:12" x14ac:dyDescent="0.25">
      <c r="A759" t="s">
        <v>885</v>
      </c>
      <c r="B759" t="s">
        <v>42</v>
      </c>
      <c r="C759">
        <v>8</v>
      </c>
      <c r="D759">
        <v>4</v>
      </c>
      <c r="G759">
        <v>12</v>
      </c>
      <c r="H759">
        <v>0</v>
      </c>
      <c r="I759">
        <f t="shared" si="44"/>
        <v>1</v>
      </c>
      <c r="J759">
        <f t="shared" si="45"/>
        <v>0</v>
      </c>
      <c r="K759">
        <f t="shared" si="46"/>
        <v>0</v>
      </c>
      <c r="L759">
        <f t="shared" si="47"/>
        <v>1</v>
      </c>
    </row>
    <row r="760" spans="1:12" x14ac:dyDescent="0.25">
      <c r="A760" t="s">
        <v>886</v>
      </c>
      <c r="B760" t="s">
        <v>42</v>
      </c>
      <c r="C760">
        <v>6</v>
      </c>
      <c r="D760">
        <v>6</v>
      </c>
      <c r="G760">
        <v>12</v>
      </c>
      <c r="H760">
        <v>0</v>
      </c>
      <c r="I760">
        <f t="shared" si="44"/>
        <v>1</v>
      </c>
      <c r="J760">
        <f t="shared" si="45"/>
        <v>0</v>
      </c>
      <c r="K760">
        <f t="shared" si="46"/>
        <v>0</v>
      </c>
      <c r="L760">
        <f t="shared" si="47"/>
        <v>1</v>
      </c>
    </row>
    <row r="761" spans="1:12" x14ac:dyDescent="0.25">
      <c r="A761" t="s">
        <v>887</v>
      </c>
      <c r="B761" t="s">
        <v>42</v>
      </c>
      <c r="C761">
        <v>8</v>
      </c>
      <c r="D761">
        <v>12</v>
      </c>
      <c r="G761">
        <v>20</v>
      </c>
      <c r="H761">
        <v>0</v>
      </c>
      <c r="I761">
        <f t="shared" si="44"/>
        <v>1</v>
      </c>
      <c r="J761">
        <f t="shared" si="45"/>
        <v>0</v>
      </c>
      <c r="K761">
        <f t="shared" si="46"/>
        <v>0</v>
      </c>
      <c r="L761">
        <f t="shared" si="47"/>
        <v>1</v>
      </c>
    </row>
    <row r="762" spans="1:12" x14ac:dyDescent="0.25">
      <c r="A762" t="s">
        <v>888</v>
      </c>
      <c r="B762" t="s">
        <v>42</v>
      </c>
      <c r="C762">
        <v>0</v>
      </c>
      <c r="D762">
        <v>12</v>
      </c>
      <c r="G762">
        <v>12</v>
      </c>
      <c r="H762">
        <v>0</v>
      </c>
      <c r="I762">
        <f t="shared" si="44"/>
        <v>0</v>
      </c>
      <c r="J762">
        <f t="shared" si="45"/>
        <v>0</v>
      </c>
      <c r="K762">
        <f t="shared" si="46"/>
        <v>0</v>
      </c>
      <c r="L762">
        <f t="shared" si="47"/>
        <v>1</v>
      </c>
    </row>
    <row r="763" spans="1:12" x14ac:dyDescent="0.25">
      <c r="A763" t="s">
        <v>889</v>
      </c>
      <c r="B763" t="s">
        <v>42</v>
      </c>
      <c r="C763">
        <v>0</v>
      </c>
      <c r="D763">
        <v>0</v>
      </c>
      <c r="G763">
        <v>0</v>
      </c>
      <c r="H763">
        <v>0</v>
      </c>
      <c r="I763">
        <f t="shared" si="44"/>
        <v>0</v>
      </c>
      <c r="J763">
        <f t="shared" si="45"/>
        <v>0</v>
      </c>
      <c r="K763">
        <f t="shared" si="46"/>
        <v>0</v>
      </c>
      <c r="L763">
        <f t="shared" si="47"/>
        <v>0</v>
      </c>
    </row>
    <row r="764" spans="1:12" x14ac:dyDescent="0.25">
      <c r="A764" t="s">
        <v>890</v>
      </c>
      <c r="B764" t="s">
        <v>183</v>
      </c>
      <c r="C764">
        <v>6</v>
      </c>
      <c r="D764">
        <v>12</v>
      </c>
      <c r="G764">
        <v>18</v>
      </c>
      <c r="H764">
        <v>0</v>
      </c>
      <c r="I764">
        <f t="shared" si="44"/>
        <v>1</v>
      </c>
      <c r="J764">
        <f t="shared" si="45"/>
        <v>0</v>
      </c>
      <c r="K764">
        <f t="shared" si="46"/>
        <v>0</v>
      </c>
      <c r="L764">
        <f t="shared" si="47"/>
        <v>1</v>
      </c>
    </row>
    <row r="765" spans="1:12" x14ac:dyDescent="0.25">
      <c r="A765" t="s">
        <v>891</v>
      </c>
      <c r="B765" t="s">
        <v>185</v>
      </c>
      <c r="C765">
        <v>6</v>
      </c>
      <c r="D765">
        <v>4</v>
      </c>
      <c r="G765">
        <v>10</v>
      </c>
      <c r="H765">
        <v>0</v>
      </c>
      <c r="I765">
        <f t="shared" si="44"/>
        <v>1</v>
      </c>
      <c r="J765">
        <f t="shared" si="45"/>
        <v>0</v>
      </c>
      <c r="K765">
        <f t="shared" si="46"/>
        <v>0</v>
      </c>
      <c r="L765">
        <f t="shared" si="47"/>
        <v>1</v>
      </c>
    </row>
    <row r="766" spans="1:12" x14ac:dyDescent="0.25">
      <c r="A766" t="s">
        <v>892</v>
      </c>
      <c r="B766" t="s">
        <v>185</v>
      </c>
      <c r="C766">
        <v>39</v>
      </c>
      <c r="D766">
        <v>13</v>
      </c>
      <c r="G766">
        <v>52</v>
      </c>
      <c r="H766">
        <v>0</v>
      </c>
      <c r="I766">
        <f t="shared" si="44"/>
        <v>1</v>
      </c>
      <c r="J766">
        <f t="shared" si="45"/>
        <v>0</v>
      </c>
      <c r="K766">
        <f t="shared" si="46"/>
        <v>0</v>
      </c>
      <c r="L766">
        <f t="shared" si="47"/>
        <v>1</v>
      </c>
    </row>
    <row r="767" spans="1:12" x14ac:dyDescent="0.25">
      <c r="A767" t="s">
        <v>893</v>
      </c>
      <c r="B767" t="s">
        <v>185</v>
      </c>
      <c r="C767">
        <v>12</v>
      </c>
      <c r="D767">
        <v>4</v>
      </c>
      <c r="G767">
        <v>16</v>
      </c>
      <c r="H767">
        <v>0</v>
      </c>
      <c r="I767">
        <f t="shared" si="44"/>
        <v>1</v>
      </c>
      <c r="J767">
        <f t="shared" si="45"/>
        <v>0</v>
      </c>
      <c r="K767">
        <f t="shared" si="46"/>
        <v>0</v>
      </c>
      <c r="L767">
        <f t="shared" si="47"/>
        <v>1</v>
      </c>
    </row>
    <row r="768" spans="1:12" x14ac:dyDescent="0.25">
      <c r="A768" t="s">
        <v>894</v>
      </c>
      <c r="B768" t="s">
        <v>185</v>
      </c>
      <c r="C768">
        <v>12</v>
      </c>
      <c r="D768">
        <v>0</v>
      </c>
      <c r="G768">
        <v>12</v>
      </c>
      <c r="H768">
        <v>0</v>
      </c>
      <c r="I768">
        <f t="shared" si="44"/>
        <v>1</v>
      </c>
      <c r="J768">
        <f t="shared" si="45"/>
        <v>0</v>
      </c>
      <c r="K768">
        <f t="shared" si="46"/>
        <v>0</v>
      </c>
      <c r="L768">
        <f t="shared" si="47"/>
        <v>0</v>
      </c>
    </row>
    <row r="769" spans="1:12" x14ac:dyDescent="0.25">
      <c r="A769" t="s">
        <v>895</v>
      </c>
      <c r="B769" t="s">
        <v>185</v>
      </c>
      <c r="C769">
        <v>10</v>
      </c>
      <c r="D769">
        <v>6</v>
      </c>
      <c r="G769">
        <v>16</v>
      </c>
      <c r="H769">
        <v>0</v>
      </c>
      <c r="I769">
        <f t="shared" si="44"/>
        <v>1</v>
      </c>
      <c r="J769">
        <f t="shared" si="45"/>
        <v>0</v>
      </c>
      <c r="K769">
        <f t="shared" si="46"/>
        <v>0</v>
      </c>
      <c r="L769">
        <f t="shared" si="47"/>
        <v>1</v>
      </c>
    </row>
    <row r="770" spans="1:12" x14ac:dyDescent="0.25">
      <c r="A770" t="s">
        <v>896</v>
      </c>
      <c r="B770" t="s">
        <v>185</v>
      </c>
      <c r="C770">
        <v>12</v>
      </c>
      <c r="D770">
        <v>4</v>
      </c>
      <c r="G770">
        <v>16</v>
      </c>
      <c r="H770">
        <v>0</v>
      </c>
      <c r="I770">
        <f t="shared" si="44"/>
        <v>1</v>
      </c>
      <c r="J770">
        <f t="shared" si="45"/>
        <v>0</v>
      </c>
      <c r="K770">
        <f t="shared" si="46"/>
        <v>0</v>
      </c>
      <c r="L770">
        <f t="shared" si="47"/>
        <v>1</v>
      </c>
    </row>
    <row r="771" spans="1:12" x14ac:dyDescent="0.25">
      <c r="A771" t="s">
        <v>897</v>
      </c>
      <c r="B771" t="s">
        <v>185</v>
      </c>
      <c r="C771">
        <v>10</v>
      </c>
      <c r="D771">
        <v>12</v>
      </c>
      <c r="G771">
        <v>22</v>
      </c>
      <c r="H771">
        <v>0</v>
      </c>
      <c r="I771">
        <f t="shared" ref="I771:I834" si="48">IF(C771&gt;0, 1, 0)</f>
        <v>1</v>
      </c>
      <c r="J771">
        <f t="shared" ref="J771:J834" si="49">IF(E771&gt;0, 1,0)</f>
        <v>0</v>
      </c>
      <c r="K771">
        <f t="shared" ref="K771:K834" si="50">IF(F771&gt;0, 1, 0)</f>
        <v>0</v>
      </c>
      <c r="L771">
        <f t="shared" ref="L771:L834" si="51">IF(D771&gt;0, 1, 0)</f>
        <v>1</v>
      </c>
    </row>
    <row r="772" spans="1:12" x14ac:dyDescent="0.25">
      <c r="A772" t="s">
        <v>898</v>
      </c>
      <c r="B772" t="s">
        <v>185</v>
      </c>
      <c r="C772">
        <v>6</v>
      </c>
      <c r="D772">
        <v>6</v>
      </c>
      <c r="G772">
        <v>12</v>
      </c>
      <c r="H772">
        <v>0</v>
      </c>
      <c r="I772">
        <f t="shared" si="48"/>
        <v>1</v>
      </c>
      <c r="J772">
        <f t="shared" si="49"/>
        <v>0</v>
      </c>
      <c r="K772">
        <f t="shared" si="50"/>
        <v>0</v>
      </c>
      <c r="L772">
        <f t="shared" si="51"/>
        <v>1</v>
      </c>
    </row>
    <row r="773" spans="1:12" x14ac:dyDescent="0.25">
      <c r="A773" t="s">
        <v>899</v>
      </c>
      <c r="B773" t="s">
        <v>185</v>
      </c>
      <c r="C773">
        <v>12</v>
      </c>
      <c r="D773">
        <v>0</v>
      </c>
      <c r="G773">
        <v>12</v>
      </c>
      <c r="H773">
        <v>0</v>
      </c>
      <c r="I773">
        <f t="shared" si="48"/>
        <v>1</v>
      </c>
      <c r="J773">
        <f t="shared" si="49"/>
        <v>0</v>
      </c>
      <c r="K773">
        <f t="shared" si="50"/>
        <v>0</v>
      </c>
      <c r="L773">
        <f t="shared" si="51"/>
        <v>0</v>
      </c>
    </row>
    <row r="774" spans="1:12" x14ac:dyDescent="0.25">
      <c r="A774" t="s">
        <v>900</v>
      </c>
      <c r="B774" t="s">
        <v>185</v>
      </c>
      <c r="C774">
        <v>6</v>
      </c>
      <c r="D774">
        <v>10</v>
      </c>
      <c r="G774">
        <v>16</v>
      </c>
      <c r="H774">
        <v>0</v>
      </c>
      <c r="I774">
        <f t="shared" si="48"/>
        <v>1</v>
      </c>
      <c r="J774">
        <f t="shared" si="49"/>
        <v>0</v>
      </c>
      <c r="K774">
        <f t="shared" si="50"/>
        <v>0</v>
      </c>
      <c r="L774">
        <f t="shared" si="51"/>
        <v>1</v>
      </c>
    </row>
    <row r="775" spans="1:12" x14ac:dyDescent="0.25">
      <c r="A775" t="s">
        <v>901</v>
      </c>
      <c r="B775" t="s">
        <v>185</v>
      </c>
      <c r="C775">
        <v>4</v>
      </c>
      <c r="D775">
        <v>1</v>
      </c>
      <c r="G775">
        <v>5</v>
      </c>
      <c r="H775">
        <v>0</v>
      </c>
      <c r="I775">
        <f t="shared" si="48"/>
        <v>1</v>
      </c>
      <c r="J775">
        <f t="shared" si="49"/>
        <v>0</v>
      </c>
      <c r="K775">
        <f t="shared" si="50"/>
        <v>0</v>
      </c>
      <c r="L775">
        <f t="shared" si="51"/>
        <v>1</v>
      </c>
    </row>
    <row r="776" spans="1:12" x14ac:dyDescent="0.25">
      <c r="A776" t="s">
        <v>902</v>
      </c>
      <c r="B776" t="s">
        <v>185</v>
      </c>
      <c r="C776">
        <v>14</v>
      </c>
      <c r="D776">
        <v>0</v>
      </c>
      <c r="G776">
        <v>14</v>
      </c>
      <c r="H776">
        <v>0</v>
      </c>
      <c r="I776">
        <f t="shared" si="48"/>
        <v>1</v>
      </c>
      <c r="J776">
        <f t="shared" si="49"/>
        <v>0</v>
      </c>
      <c r="K776">
        <f t="shared" si="50"/>
        <v>0</v>
      </c>
      <c r="L776">
        <f t="shared" si="51"/>
        <v>0</v>
      </c>
    </row>
    <row r="777" spans="1:12" x14ac:dyDescent="0.25">
      <c r="A777" t="s">
        <v>903</v>
      </c>
      <c r="B777" t="s">
        <v>185</v>
      </c>
      <c r="C777">
        <v>12</v>
      </c>
      <c r="D777">
        <v>2</v>
      </c>
      <c r="G777">
        <v>14</v>
      </c>
      <c r="H777">
        <v>0</v>
      </c>
      <c r="I777">
        <f t="shared" si="48"/>
        <v>1</v>
      </c>
      <c r="J777">
        <f t="shared" si="49"/>
        <v>0</v>
      </c>
      <c r="K777">
        <f t="shared" si="50"/>
        <v>0</v>
      </c>
      <c r="L777">
        <f t="shared" si="51"/>
        <v>1</v>
      </c>
    </row>
    <row r="778" spans="1:12" x14ac:dyDescent="0.25">
      <c r="A778" t="s">
        <v>904</v>
      </c>
      <c r="B778" t="s">
        <v>185</v>
      </c>
      <c r="C778">
        <v>9</v>
      </c>
      <c r="D778">
        <v>18</v>
      </c>
      <c r="G778">
        <v>27</v>
      </c>
      <c r="H778">
        <v>0</v>
      </c>
      <c r="I778">
        <f t="shared" si="48"/>
        <v>1</v>
      </c>
      <c r="J778">
        <f t="shared" si="49"/>
        <v>0</v>
      </c>
      <c r="K778">
        <f t="shared" si="50"/>
        <v>0</v>
      </c>
      <c r="L778">
        <f t="shared" si="51"/>
        <v>1</v>
      </c>
    </row>
    <row r="779" spans="1:12" x14ac:dyDescent="0.25">
      <c r="A779" t="s">
        <v>905</v>
      </c>
      <c r="B779" t="s">
        <v>906</v>
      </c>
      <c r="C779">
        <v>8</v>
      </c>
      <c r="D779">
        <v>0</v>
      </c>
      <c r="G779">
        <v>8</v>
      </c>
      <c r="H779">
        <v>0</v>
      </c>
      <c r="I779">
        <f t="shared" si="48"/>
        <v>1</v>
      </c>
      <c r="J779">
        <f t="shared" si="49"/>
        <v>0</v>
      </c>
      <c r="K779">
        <f t="shared" si="50"/>
        <v>0</v>
      </c>
      <c r="L779">
        <f t="shared" si="51"/>
        <v>0</v>
      </c>
    </row>
    <row r="780" spans="1:12" x14ac:dyDescent="0.25">
      <c r="A780" t="s">
        <v>907</v>
      </c>
      <c r="B780" t="s">
        <v>906</v>
      </c>
      <c r="C780">
        <v>8</v>
      </c>
      <c r="D780">
        <v>4</v>
      </c>
      <c r="G780">
        <v>12</v>
      </c>
      <c r="H780">
        <v>0</v>
      </c>
      <c r="I780">
        <f t="shared" si="48"/>
        <v>1</v>
      </c>
      <c r="J780">
        <f t="shared" si="49"/>
        <v>0</v>
      </c>
      <c r="K780">
        <f t="shared" si="50"/>
        <v>0</v>
      </c>
      <c r="L780">
        <f t="shared" si="51"/>
        <v>1</v>
      </c>
    </row>
    <row r="781" spans="1:12" x14ac:dyDescent="0.25">
      <c r="A781" t="s">
        <v>908</v>
      </c>
      <c r="B781" t="s">
        <v>909</v>
      </c>
      <c r="C781">
        <v>6</v>
      </c>
      <c r="D781">
        <v>6</v>
      </c>
      <c r="G781">
        <v>12</v>
      </c>
      <c r="H781">
        <v>0</v>
      </c>
      <c r="I781">
        <f t="shared" si="48"/>
        <v>1</v>
      </c>
      <c r="J781">
        <f t="shared" si="49"/>
        <v>0</v>
      </c>
      <c r="K781">
        <f t="shared" si="50"/>
        <v>0</v>
      </c>
      <c r="L781">
        <f t="shared" si="51"/>
        <v>1</v>
      </c>
    </row>
    <row r="782" spans="1:12" x14ac:dyDescent="0.25">
      <c r="A782" t="s">
        <v>910</v>
      </c>
      <c r="B782" t="s">
        <v>909</v>
      </c>
      <c r="C782">
        <v>4</v>
      </c>
      <c r="D782">
        <v>9</v>
      </c>
      <c r="G782">
        <v>13</v>
      </c>
      <c r="H782">
        <v>0</v>
      </c>
      <c r="I782">
        <f t="shared" si="48"/>
        <v>1</v>
      </c>
      <c r="J782">
        <f t="shared" si="49"/>
        <v>0</v>
      </c>
      <c r="K782">
        <f t="shared" si="50"/>
        <v>0</v>
      </c>
      <c r="L782">
        <f t="shared" si="51"/>
        <v>1</v>
      </c>
    </row>
    <row r="783" spans="1:12" x14ac:dyDescent="0.25">
      <c r="A783" t="s">
        <v>911</v>
      </c>
      <c r="B783" t="s">
        <v>909</v>
      </c>
      <c r="C783">
        <v>12</v>
      </c>
      <c r="D783">
        <v>4</v>
      </c>
      <c r="G783">
        <v>16</v>
      </c>
      <c r="H783">
        <v>0</v>
      </c>
      <c r="I783">
        <f t="shared" si="48"/>
        <v>1</v>
      </c>
      <c r="J783">
        <f t="shared" si="49"/>
        <v>0</v>
      </c>
      <c r="K783">
        <f t="shared" si="50"/>
        <v>0</v>
      </c>
      <c r="L783">
        <f t="shared" si="51"/>
        <v>1</v>
      </c>
    </row>
    <row r="784" spans="1:12" x14ac:dyDescent="0.25">
      <c r="A784" t="s">
        <v>912</v>
      </c>
      <c r="B784" t="s">
        <v>909</v>
      </c>
      <c r="C784">
        <v>6</v>
      </c>
      <c r="D784">
        <v>12</v>
      </c>
      <c r="G784">
        <v>18</v>
      </c>
      <c r="H784">
        <v>0</v>
      </c>
      <c r="I784">
        <f t="shared" si="48"/>
        <v>1</v>
      </c>
      <c r="J784">
        <f t="shared" si="49"/>
        <v>0</v>
      </c>
      <c r="K784">
        <f t="shared" si="50"/>
        <v>0</v>
      </c>
      <c r="L784">
        <f t="shared" si="51"/>
        <v>1</v>
      </c>
    </row>
    <row r="785" spans="1:12" x14ac:dyDescent="0.25">
      <c r="A785" t="s">
        <v>913</v>
      </c>
      <c r="B785" t="s">
        <v>909</v>
      </c>
      <c r="C785">
        <v>6</v>
      </c>
      <c r="D785">
        <v>0</v>
      </c>
      <c r="G785">
        <v>6</v>
      </c>
      <c r="H785">
        <v>0</v>
      </c>
      <c r="I785">
        <f t="shared" si="48"/>
        <v>1</v>
      </c>
      <c r="J785">
        <f t="shared" si="49"/>
        <v>0</v>
      </c>
      <c r="K785">
        <f t="shared" si="50"/>
        <v>0</v>
      </c>
      <c r="L785">
        <f t="shared" si="51"/>
        <v>0</v>
      </c>
    </row>
    <row r="786" spans="1:12" x14ac:dyDescent="0.25">
      <c r="A786" t="s">
        <v>914</v>
      </c>
      <c r="B786" t="s">
        <v>909</v>
      </c>
      <c r="C786">
        <v>12</v>
      </c>
      <c r="D786">
        <v>4</v>
      </c>
      <c r="G786">
        <v>16</v>
      </c>
      <c r="H786">
        <v>0</v>
      </c>
      <c r="I786">
        <f t="shared" si="48"/>
        <v>1</v>
      </c>
      <c r="J786">
        <f t="shared" si="49"/>
        <v>0</v>
      </c>
      <c r="K786">
        <f t="shared" si="50"/>
        <v>0</v>
      </c>
      <c r="L786">
        <f t="shared" si="51"/>
        <v>1</v>
      </c>
    </row>
    <row r="787" spans="1:12" x14ac:dyDescent="0.25">
      <c r="A787" t="s">
        <v>915</v>
      </c>
      <c r="B787" t="s">
        <v>909</v>
      </c>
      <c r="C787">
        <v>8</v>
      </c>
      <c r="D787">
        <v>3</v>
      </c>
      <c r="G787">
        <v>11</v>
      </c>
      <c r="H787">
        <v>0</v>
      </c>
      <c r="I787">
        <f t="shared" si="48"/>
        <v>1</v>
      </c>
      <c r="J787">
        <f t="shared" si="49"/>
        <v>0</v>
      </c>
      <c r="K787">
        <f t="shared" si="50"/>
        <v>0</v>
      </c>
      <c r="L787">
        <f t="shared" si="51"/>
        <v>1</v>
      </c>
    </row>
    <row r="788" spans="1:12" x14ac:dyDescent="0.25">
      <c r="A788" t="s">
        <v>916</v>
      </c>
      <c r="B788" t="s">
        <v>917</v>
      </c>
      <c r="C788">
        <v>12</v>
      </c>
      <c r="D788">
        <v>12</v>
      </c>
      <c r="G788">
        <v>24</v>
      </c>
      <c r="H788">
        <v>0</v>
      </c>
      <c r="I788">
        <f t="shared" si="48"/>
        <v>1</v>
      </c>
      <c r="J788">
        <f t="shared" si="49"/>
        <v>0</v>
      </c>
      <c r="K788">
        <f t="shared" si="50"/>
        <v>0</v>
      </c>
      <c r="L788">
        <f t="shared" si="51"/>
        <v>1</v>
      </c>
    </row>
    <row r="789" spans="1:12" x14ac:dyDescent="0.25">
      <c r="A789" t="s">
        <v>918</v>
      </c>
      <c r="B789" t="s">
        <v>919</v>
      </c>
      <c r="C789">
        <v>1</v>
      </c>
      <c r="D789">
        <v>0</v>
      </c>
      <c r="G789">
        <v>1</v>
      </c>
      <c r="H789">
        <v>0</v>
      </c>
      <c r="I789">
        <f t="shared" si="48"/>
        <v>1</v>
      </c>
      <c r="J789">
        <f t="shared" si="49"/>
        <v>0</v>
      </c>
      <c r="K789">
        <f t="shared" si="50"/>
        <v>0</v>
      </c>
      <c r="L789">
        <f t="shared" si="51"/>
        <v>0</v>
      </c>
    </row>
    <row r="790" spans="1:12" x14ac:dyDescent="0.25">
      <c r="A790" t="s">
        <v>920</v>
      </c>
      <c r="B790" t="s">
        <v>191</v>
      </c>
      <c r="C790">
        <v>12</v>
      </c>
      <c r="D790">
        <v>6</v>
      </c>
      <c r="G790">
        <v>18</v>
      </c>
      <c r="H790">
        <v>0</v>
      </c>
      <c r="I790">
        <f t="shared" si="48"/>
        <v>1</v>
      </c>
      <c r="J790">
        <f t="shared" si="49"/>
        <v>0</v>
      </c>
      <c r="K790">
        <f t="shared" si="50"/>
        <v>0</v>
      </c>
      <c r="L790">
        <f t="shared" si="51"/>
        <v>1</v>
      </c>
    </row>
    <row r="791" spans="1:12" x14ac:dyDescent="0.25">
      <c r="A791" t="s">
        <v>921</v>
      </c>
      <c r="B791" t="s">
        <v>191</v>
      </c>
      <c r="C791">
        <v>8</v>
      </c>
      <c r="D791">
        <v>0</v>
      </c>
      <c r="G791">
        <v>8</v>
      </c>
      <c r="H791">
        <v>0</v>
      </c>
      <c r="I791">
        <f t="shared" si="48"/>
        <v>1</v>
      </c>
      <c r="J791">
        <f t="shared" si="49"/>
        <v>0</v>
      </c>
      <c r="K791">
        <f t="shared" si="50"/>
        <v>0</v>
      </c>
      <c r="L791">
        <f t="shared" si="51"/>
        <v>0</v>
      </c>
    </row>
    <row r="792" spans="1:12" x14ac:dyDescent="0.25">
      <c r="A792" t="s">
        <v>922</v>
      </c>
      <c r="B792" t="s">
        <v>191</v>
      </c>
      <c r="C792">
        <v>2</v>
      </c>
      <c r="D792">
        <v>0</v>
      </c>
      <c r="G792">
        <v>2</v>
      </c>
      <c r="H792">
        <v>0</v>
      </c>
      <c r="I792">
        <f t="shared" si="48"/>
        <v>1</v>
      </c>
      <c r="J792">
        <f t="shared" si="49"/>
        <v>0</v>
      </c>
      <c r="K792">
        <f t="shared" si="50"/>
        <v>0</v>
      </c>
      <c r="L792">
        <f t="shared" si="51"/>
        <v>0</v>
      </c>
    </row>
    <row r="793" spans="1:12" x14ac:dyDescent="0.25">
      <c r="A793" t="s">
        <v>923</v>
      </c>
      <c r="B793" t="s">
        <v>191</v>
      </c>
      <c r="C793">
        <v>12</v>
      </c>
      <c r="D793">
        <v>26</v>
      </c>
      <c r="G793">
        <v>38</v>
      </c>
      <c r="H793">
        <v>0</v>
      </c>
      <c r="I793">
        <f t="shared" si="48"/>
        <v>1</v>
      </c>
      <c r="J793">
        <f t="shared" si="49"/>
        <v>0</v>
      </c>
      <c r="K793">
        <f t="shared" si="50"/>
        <v>0</v>
      </c>
      <c r="L793">
        <f t="shared" si="51"/>
        <v>1</v>
      </c>
    </row>
    <row r="794" spans="1:12" x14ac:dyDescent="0.25">
      <c r="A794" t="s">
        <v>924</v>
      </c>
      <c r="B794" t="s">
        <v>925</v>
      </c>
      <c r="C794">
        <v>12</v>
      </c>
      <c r="D794">
        <v>0</v>
      </c>
      <c r="G794">
        <v>12</v>
      </c>
      <c r="H794">
        <v>0</v>
      </c>
      <c r="I794">
        <f t="shared" si="48"/>
        <v>1</v>
      </c>
      <c r="J794">
        <f t="shared" si="49"/>
        <v>0</v>
      </c>
      <c r="K794">
        <f t="shared" si="50"/>
        <v>0</v>
      </c>
      <c r="L794">
        <f t="shared" si="51"/>
        <v>0</v>
      </c>
    </row>
    <row r="795" spans="1:12" x14ac:dyDescent="0.25">
      <c r="A795" t="s">
        <v>926</v>
      </c>
      <c r="B795" t="s">
        <v>927</v>
      </c>
      <c r="C795">
        <v>8</v>
      </c>
      <c r="D795">
        <v>0</v>
      </c>
      <c r="G795">
        <v>8</v>
      </c>
      <c r="H795">
        <v>0</v>
      </c>
      <c r="I795">
        <f t="shared" si="48"/>
        <v>1</v>
      </c>
      <c r="J795">
        <f t="shared" si="49"/>
        <v>0</v>
      </c>
      <c r="K795">
        <f t="shared" si="50"/>
        <v>0</v>
      </c>
      <c r="L795">
        <f t="shared" si="51"/>
        <v>0</v>
      </c>
    </row>
    <row r="796" spans="1:12" x14ac:dyDescent="0.25">
      <c r="A796" t="s">
        <v>928</v>
      </c>
      <c r="B796" t="s">
        <v>927</v>
      </c>
      <c r="C796">
        <v>8</v>
      </c>
      <c r="D796">
        <v>0</v>
      </c>
      <c r="G796">
        <v>8</v>
      </c>
      <c r="H796">
        <v>0</v>
      </c>
      <c r="I796">
        <f t="shared" si="48"/>
        <v>1</v>
      </c>
      <c r="J796">
        <f t="shared" si="49"/>
        <v>0</v>
      </c>
      <c r="K796">
        <f t="shared" si="50"/>
        <v>0</v>
      </c>
      <c r="L796">
        <f t="shared" si="51"/>
        <v>0</v>
      </c>
    </row>
    <row r="797" spans="1:12" x14ac:dyDescent="0.25">
      <c r="A797" t="s">
        <v>929</v>
      </c>
      <c r="B797" t="s">
        <v>927</v>
      </c>
      <c r="C797">
        <v>8</v>
      </c>
      <c r="D797">
        <v>8</v>
      </c>
      <c r="G797">
        <v>16</v>
      </c>
      <c r="H797">
        <v>0</v>
      </c>
      <c r="I797">
        <f t="shared" si="48"/>
        <v>1</v>
      </c>
      <c r="J797">
        <f t="shared" si="49"/>
        <v>0</v>
      </c>
      <c r="K797">
        <f t="shared" si="50"/>
        <v>0</v>
      </c>
      <c r="L797">
        <f t="shared" si="51"/>
        <v>1</v>
      </c>
    </row>
    <row r="798" spans="1:12" x14ac:dyDescent="0.25">
      <c r="A798" t="s">
        <v>930</v>
      </c>
      <c r="B798" t="s">
        <v>927</v>
      </c>
      <c r="C798">
        <v>4</v>
      </c>
      <c r="D798">
        <v>2</v>
      </c>
      <c r="G798">
        <v>6</v>
      </c>
      <c r="H798">
        <v>0</v>
      </c>
      <c r="I798">
        <f t="shared" si="48"/>
        <v>1</v>
      </c>
      <c r="J798">
        <f t="shared" si="49"/>
        <v>0</v>
      </c>
      <c r="K798">
        <f t="shared" si="50"/>
        <v>0</v>
      </c>
      <c r="L798">
        <f t="shared" si="51"/>
        <v>1</v>
      </c>
    </row>
    <row r="799" spans="1:12" x14ac:dyDescent="0.25">
      <c r="A799" t="s">
        <v>931</v>
      </c>
      <c r="B799" t="s">
        <v>194</v>
      </c>
      <c r="C799">
        <v>6</v>
      </c>
      <c r="E799">
        <v>2</v>
      </c>
      <c r="G799">
        <v>6</v>
      </c>
      <c r="H799">
        <v>2</v>
      </c>
      <c r="I799">
        <f t="shared" si="48"/>
        <v>1</v>
      </c>
      <c r="J799">
        <f t="shared" si="49"/>
        <v>1</v>
      </c>
      <c r="K799">
        <f t="shared" si="50"/>
        <v>0</v>
      </c>
      <c r="L799">
        <f t="shared" si="51"/>
        <v>0</v>
      </c>
    </row>
    <row r="800" spans="1:12" x14ac:dyDescent="0.25">
      <c r="A800" t="s">
        <v>932</v>
      </c>
      <c r="B800" t="s">
        <v>194</v>
      </c>
      <c r="C800">
        <v>12</v>
      </c>
      <c r="D800">
        <v>0</v>
      </c>
      <c r="G800">
        <v>12</v>
      </c>
      <c r="H800">
        <v>0</v>
      </c>
      <c r="I800">
        <f t="shared" si="48"/>
        <v>1</v>
      </c>
      <c r="J800">
        <f t="shared" si="49"/>
        <v>0</v>
      </c>
      <c r="K800">
        <f t="shared" si="50"/>
        <v>0</v>
      </c>
      <c r="L800">
        <f t="shared" si="51"/>
        <v>0</v>
      </c>
    </row>
    <row r="801" spans="1:12" x14ac:dyDescent="0.25">
      <c r="A801" t="s">
        <v>933</v>
      </c>
      <c r="B801" t="s">
        <v>194</v>
      </c>
      <c r="C801">
        <v>6</v>
      </c>
      <c r="D801">
        <v>12</v>
      </c>
      <c r="G801">
        <v>18</v>
      </c>
      <c r="H801">
        <v>0</v>
      </c>
      <c r="I801">
        <f t="shared" si="48"/>
        <v>1</v>
      </c>
      <c r="J801">
        <f t="shared" si="49"/>
        <v>0</v>
      </c>
      <c r="K801">
        <f t="shared" si="50"/>
        <v>0</v>
      </c>
      <c r="L801">
        <f t="shared" si="51"/>
        <v>1</v>
      </c>
    </row>
    <row r="802" spans="1:12" x14ac:dyDescent="0.25">
      <c r="A802" t="s">
        <v>934</v>
      </c>
      <c r="B802" t="s">
        <v>194</v>
      </c>
      <c r="C802">
        <v>6</v>
      </c>
      <c r="D802">
        <v>30</v>
      </c>
      <c r="G802">
        <v>36</v>
      </c>
      <c r="H802">
        <v>0</v>
      </c>
      <c r="I802">
        <f t="shared" si="48"/>
        <v>1</v>
      </c>
      <c r="J802">
        <f t="shared" si="49"/>
        <v>0</v>
      </c>
      <c r="K802">
        <f t="shared" si="50"/>
        <v>0</v>
      </c>
      <c r="L802">
        <f t="shared" si="51"/>
        <v>1</v>
      </c>
    </row>
    <row r="803" spans="1:12" x14ac:dyDescent="0.25">
      <c r="A803" t="s">
        <v>935</v>
      </c>
      <c r="B803" t="s">
        <v>194</v>
      </c>
      <c r="C803">
        <v>4</v>
      </c>
      <c r="D803">
        <v>8</v>
      </c>
      <c r="G803">
        <v>12</v>
      </c>
      <c r="H803">
        <v>0</v>
      </c>
      <c r="I803">
        <f t="shared" si="48"/>
        <v>1</v>
      </c>
      <c r="J803">
        <f t="shared" si="49"/>
        <v>0</v>
      </c>
      <c r="K803">
        <f t="shared" si="50"/>
        <v>0</v>
      </c>
      <c r="L803">
        <f t="shared" si="51"/>
        <v>1</v>
      </c>
    </row>
    <row r="804" spans="1:12" x14ac:dyDescent="0.25">
      <c r="A804" t="s">
        <v>936</v>
      </c>
      <c r="B804" t="s">
        <v>194</v>
      </c>
      <c r="C804">
        <v>0</v>
      </c>
      <c r="D804">
        <v>12</v>
      </c>
      <c r="G804">
        <v>12</v>
      </c>
      <c r="H804">
        <v>0</v>
      </c>
      <c r="I804">
        <f t="shared" si="48"/>
        <v>0</v>
      </c>
      <c r="J804">
        <f t="shared" si="49"/>
        <v>0</v>
      </c>
      <c r="K804">
        <f t="shared" si="50"/>
        <v>0</v>
      </c>
      <c r="L804">
        <f t="shared" si="51"/>
        <v>1</v>
      </c>
    </row>
    <row r="805" spans="1:12" x14ac:dyDescent="0.25">
      <c r="A805" t="s">
        <v>937</v>
      </c>
      <c r="B805" t="s">
        <v>194</v>
      </c>
      <c r="C805">
        <v>16</v>
      </c>
      <c r="D805">
        <v>0</v>
      </c>
      <c r="G805">
        <v>16</v>
      </c>
      <c r="H805">
        <v>0</v>
      </c>
      <c r="I805">
        <f t="shared" si="48"/>
        <v>1</v>
      </c>
      <c r="J805">
        <f t="shared" si="49"/>
        <v>0</v>
      </c>
      <c r="K805">
        <f t="shared" si="50"/>
        <v>0</v>
      </c>
      <c r="L805">
        <f t="shared" si="51"/>
        <v>0</v>
      </c>
    </row>
    <row r="806" spans="1:12" x14ac:dyDescent="0.25">
      <c r="A806" t="s">
        <v>938</v>
      </c>
      <c r="B806" t="s">
        <v>194</v>
      </c>
      <c r="C806">
        <v>6</v>
      </c>
      <c r="D806">
        <v>11</v>
      </c>
      <c r="G806">
        <v>17</v>
      </c>
      <c r="H806">
        <v>0</v>
      </c>
      <c r="I806">
        <f t="shared" si="48"/>
        <v>1</v>
      </c>
      <c r="J806">
        <f t="shared" si="49"/>
        <v>0</v>
      </c>
      <c r="K806">
        <f t="shared" si="50"/>
        <v>0</v>
      </c>
      <c r="L806">
        <f t="shared" si="51"/>
        <v>1</v>
      </c>
    </row>
    <row r="807" spans="1:12" x14ac:dyDescent="0.25">
      <c r="A807" t="s">
        <v>939</v>
      </c>
      <c r="B807" t="s">
        <v>940</v>
      </c>
      <c r="C807">
        <v>12</v>
      </c>
      <c r="D807">
        <v>6</v>
      </c>
      <c r="G807">
        <v>18</v>
      </c>
      <c r="H807">
        <v>0</v>
      </c>
      <c r="I807">
        <f t="shared" si="48"/>
        <v>1</v>
      </c>
      <c r="J807">
        <f t="shared" si="49"/>
        <v>0</v>
      </c>
      <c r="K807">
        <f t="shared" si="50"/>
        <v>0</v>
      </c>
      <c r="L807">
        <f t="shared" si="51"/>
        <v>1</v>
      </c>
    </row>
    <row r="808" spans="1:12" x14ac:dyDescent="0.25">
      <c r="A808" t="s">
        <v>941</v>
      </c>
      <c r="B808" t="s">
        <v>940</v>
      </c>
      <c r="C808">
        <v>2</v>
      </c>
      <c r="D808">
        <v>16</v>
      </c>
      <c r="G808">
        <v>18</v>
      </c>
      <c r="H808">
        <v>0</v>
      </c>
      <c r="I808">
        <f t="shared" si="48"/>
        <v>1</v>
      </c>
      <c r="J808">
        <f t="shared" si="49"/>
        <v>0</v>
      </c>
      <c r="K808">
        <f t="shared" si="50"/>
        <v>0</v>
      </c>
      <c r="L808">
        <f t="shared" si="51"/>
        <v>1</v>
      </c>
    </row>
    <row r="809" spans="1:12" x14ac:dyDescent="0.25">
      <c r="A809" t="s">
        <v>942</v>
      </c>
      <c r="B809" t="s">
        <v>940</v>
      </c>
      <c r="C809">
        <v>10.5</v>
      </c>
      <c r="D809">
        <v>27.5</v>
      </c>
      <c r="G809">
        <v>38</v>
      </c>
      <c r="H809">
        <v>0</v>
      </c>
      <c r="I809">
        <f t="shared" si="48"/>
        <v>1</v>
      </c>
      <c r="J809">
        <f t="shared" si="49"/>
        <v>0</v>
      </c>
      <c r="K809">
        <f t="shared" si="50"/>
        <v>0</v>
      </c>
      <c r="L809">
        <f t="shared" si="51"/>
        <v>1</v>
      </c>
    </row>
    <row r="810" spans="1:12" x14ac:dyDescent="0.25">
      <c r="A810" t="s">
        <v>943</v>
      </c>
      <c r="B810" t="s">
        <v>940</v>
      </c>
      <c r="C810">
        <v>12</v>
      </c>
      <c r="D810">
        <v>4</v>
      </c>
      <c r="G810">
        <v>16</v>
      </c>
      <c r="H810">
        <v>0</v>
      </c>
      <c r="I810">
        <f t="shared" si="48"/>
        <v>1</v>
      </c>
      <c r="J810">
        <f t="shared" si="49"/>
        <v>0</v>
      </c>
      <c r="K810">
        <f t="shared" si="50"/>
        <v>0</v>
      </c>
      <c r="L810">
        <f t="shared" si="51"/>
        <v>1</v>
      </c>
    </row>
    <row r="811" spans="1:12" x14ac:dyDescent="0.25">
      <c r="A811" t="s">
        <v>944</v>
      </c>
      <c r="B811" t="s">
        <v>197</v>
      </c>
      <c r="C811">
        <v>6</v>
      </c>
      <c r="D811">
        <v>4</v>
      </c>
      <c r="G811">
        <v>10</v>
      </c>
      <c r="H811">
        <v>0</v>
      </c>
      <c r="I811">
        <f t="shared" si="48"/>
        <v>1</v>
      </c>
      <c r="J811">
        <f t="shared" si="49"/>
        <v>0</v>
      </c>
      <c r="K811">
        <f t="shared" si="50"/>
        <v>0</v>
      </c>
      <c r="L811">
        <f t="shared" si="51"/>
        <v>1</v>
      </c>
    </row>
    <row r="812" spans="1:12" x14ac:dyDescent="0.25">
      <c r="A812" t="s">
        <v>945</v>
      </c>
      <c r="B812" t="s">
        <v>197</v>
      </c>
      <c r="C812">
        <v>5</v>
      </c>
      <c r="D812">
        <v>10</v>
      </c>
      <c r="G812">
        <v>15</v>
      </c>
      <c r="H812">
        <v>0</v>
      </c>
      <c r="I812">
        <f t="shared" si="48"/>
        <v>1</v>
      </c>
      <c r="J812">
        <f t="shared" si="49"/>
        <v>0</v>
      </c>
      <c r="K812">
        <f t="shared" si="50"/>
        <v>0</v>
      </c>
      <c r="L812">
        <f t="shared" si="51"/>
        <v>1</v>
      </c>
    </row>
    <row r="813" spans="1:12" x14ac:dyDescent="0.25">
      <c r="A813" t="s">
        <v>946</v>
      </c>
      <c r="B813" t="s">
        <v>197</v>
      </c>
      <c r="C813">
        <v>12</v>
      </c>
      <c r="D813">
        <v>8</v>
      </c>
      <c r="G813">
        <v>20</v>
      </c>
      <c r="H813">
        <v>0</v>
      </c>
      <c r="I813">
        <f t="shared" si="48"/>
        <v>1</v>
      </c>
      <c r="J813">
        <f t="shared" si="49"/>
        <v>0</v>
      </c>
      <c r="K813">
        <f t="shared" si="50"/>
        <v>0</v>
      </c>
      <c r="L813">
        <f t="shared" si="51"/>
        <v>1</v>
      </c>
    </row>
    <row r="814" spans="1:12" x14ac:dyDescent="0.25">
      <c r="A814" t="s">
        <v>947</v>
      </c>
      <c r="B814" t="s">
        <v>197</v>
      </c>
      <c r="C814">
        <v>6</v>
      </c>
      <c r="E814">
        <v>2</v>
      </c>
      <c r="G814">
        <v>6</v>
      </c>
      <c r="H814">
        <v>2</v>
      </c>
      <c r="I814">
        <f t="shared" si="48"/>
        <v>1</v>
      </c>
      <c r="J814">
        <f t="shared" si="49"/>
        <v>1</v>
      </c>
      <c r="K814">
        <f t="shared" si="50"/>
        <v>0</v>
      </c>
      <c r="L814">
        <f t="shared" si="51"/>
        <v>0</v>
      </c>
    </row>
    <row r="815" spans="1:12" x14ac:dyDescent="0.25">
      <c r="A815" t="s">
        <v>948</v>
      </c>
      <c r="B815" t="s">
        <v>197</v>
      </c>
      <c r="C815">
        <v>6</v>
      </c>
      <c r="D815">
        <v>6</v>
      </c>
      <c r="G815">
        <v>12</v>
      </c>
      <c r="H815">
        <v>0</v>
      </c>
      <c r="I815">
        <f t="shared" si="48"/>
        <v>1</v>
      </c>
      <c r="J815">
        <f t="shared" si="49"/>
        <v>0</v>
      </c>
      <c r="K815">
        <f t="shared" si="50"/>
        <v>0</v>
      </c>
      <c r="L815">
        <f t="shared" si="51"/>
        <v>1</v>
      </c>
    </row>
    <row r="816" spans="1:12" x14ac:dyDescent="0.25">
      <c r="A816" t="s">
        <v>949</v>
      </c>
      <c r="B816" t="s">
        <v>199</v>
      </c>
      <c r="C816">
        <v>12</v>
      </c>
      <c r="D816">
        <v>12</v>
      </c>
      <c r="G816">
        <v>24</v>
      </c>
      <c r="H816">
        <v>0</v>
      </c>
      <c r="I816">
        <f t="shared" si="48"/>
        <v>1</v>
      </c>
      <c r="J816">
        <f t="shared" si="49"/>
        <v>0</v>
      </c>
      <c r="K816">
        <f t="shared" si="50"/>
        <v>0</v>
      </c>
      <c r="L816">
        <f t="shared" si="51"/>
        <v>1</v>
      </c>
    </row>
    <row r="817" spans="1:12" x14ac:dyDescent="0.25">
      <c r="A817" t="s">
        <v>950</v>
      </c>
      <c r="B817" t="s">
        <v>199</v>
      </c>
      <c r="C817">
        <v>6</v>
      </c>
      <c r="D817">
        <v>12</v>
      </c>
      <c r="G817">
        <v>18</v>
      </c>
      <c r="H817">
        <v>0</v>
      </c>
      <c r="I817">
        <f t="shared" si="48"/>
        <v>1</v>
      </c>
      <c r="J817">
        <f t="shared" si="49"/>
        <v>0</v>
      </c>
      <c r="K817">
        <f t="shared" si="50"/>
        <v>0</v>
      </c>
      <c r="L817">
        <f t="shared" si="51"/>
        <v>1</v>
      </c>
    </row>
    <row r="818" spans="1:12" x14ac:dyDescent="0.25">
      <c r="A818" t="s">
        <v>951</v>
      </c>
      <c r="B818" t="s">
        <v>199</v>
      </c>
      <c r="C818">
        <v>0</v>
      </c>
      <c r="D818">
        <v>12</v>
      </c>
      <c r="G818">
        <v>12</v>
      </c>
      <c r="H818">
        <v>0</v>
      </c>
      <c r="I818">
        <f t="shared" si="48"/>
        <v>0</v>
      </c>
      <c r="J818">
        <f t="shared" si="49"/>
        <v>0</v>
      </c>
      <c r="K818">
        <f t="shared" si="50"/>
        <v>0</v>
      </c>
      <c r="L818">
        <f t="shared" si="51"/>
        <v>1</v>
      </c>
    </row>
    <row r="819" spans="1:12" x14ac:dyDescent="0.25">
      <c r="A819" t="s">
        <v>952</v>
      </c>
      <c r="B819" t="s">
        <v>199</v>
      </c>
      <c r="C819">
        <v>6</v>
      </c>
      <c r="D819">
        <v>12</v>
      </c>
      <c r="G819">
        <v>18</v>
      </c>
      <c r="H819">
        <v>0</v>
      </c>
      <c r="I819">
        <f t="shared" si="48"/>
        <v>1</v>
      </c>
      <c r="J819">
        <f t="shared" si="49"/>
        <v>0</v>
      </c>
      <c r="K819">
        <f t="shared" si="50"/>
        <v>0</v>
      </c>
      <c r="L819">
        <f t="shared" si="51"/>
        <v>1</v>
      </c>
    </row>
    <row r="820" spans="1:12" x14ac:dyDescent="0.25">
      <c r="A820" t="s">
        <v>953</v>
      </c>
      <c r="B820" t="s">
        <v>199</v>
      </c>
      <c r="C820">
        <v>6</v>
      </c>
      <c r="D820">
        <v>6</v>
      </c>
      <c r="G820">
        <v>12</v>
      </c>
      <c r="H820">
        <v>0</v>
      </c>
      <c r="I820">
        <f t="shared" si="48"/>
        <v>1</v>
      </c>
      <c r="J820">
        <f t="shared" si="49"/>
        <v>0</v>
      </c>
      <c r="K820">
        <f t="shared" si="50"/>
        <v>0</v>
      </c>
      <c r="L820">
        <f t="shared" si="51"/>
        <v>1</v>
      </c>
    </row>
    <row r="821" spans="1:12" x14ac:dyDescent="0.25">
      <c r="A821" t="s">
        <v>954</v>
      </c>
      <c r="B821" t="s">
        <v>199</v>
      </c>
      <c r="C821">
        <v>8</v>
      </c>
      <c r="D821">
        <v>4</v>
      </c>
      <c r="G821">
        <v>12</v>
      </c>
      <c r="H821">
        <v>0</v>
      </c>
      <c r="I821">
        <f t="shared" si="48"/>
        <v>1</v>
      </c>
      <c r="J821">
        <f t="shared" si="49"/>
        <v>0</v>
      </c>
      <c r="K821">
        <f t="shared" si="50"/>
        <v>0</v>
      </c>
      <c r="L821">
        <f t="shared" si="51"/>
        <v>1</v>
      </c>
    </row>
    <row r="822" spans="1:12" x14ac:dyDescent="0.25">
      <c r="A822" t="s">
        <v>955</v>
      </c>
      <c r="B822" t="s">
        <v>199</v>
      </c>
      <c r="C822">
        <v>6</v>
      </c>
      <c r="D822">
        <v>12</v>
      </c>
      <c r="G822">
        <v>18</v>
      </c>
      <c r="H822">
        <v>0</v>
      </c>
      <c r="I822">
        <f t="shared" si="48"/>
        <v>1</v>
      </c>
      <c r="J822">
        <f t="shared" si="49"/>
        <v>0</v>
      </c>
      <c r="K822">
        <f t="shared" si="50"/>
        <v>0</v>
      </c>
      <c r="L822">
        <f t="shared" si="51"/>
        <v>1</v>
      </c>
    </row>
    <row r="823" spans="1:12" x14ac:dyDescent="0.25">
      <c r="A823" t="s">
        <v>956</v>
      </c>
      <c r="B823" t="s">
        <v>201</v>
      </c>
      <c r="C823">
        <v>12</v>
      </c>
      <c r="D823">
        <v>52</v>
      </c>
      <c r="G823">
        <v>64</v>
      </c>
      <c r="H823">
        <v>0</v>
      </c>
      <c r="I823">
        <f t="shared" si="48"/>
        <v>1</v>
      </c>
      <c r="J823">
        <f t="shared" si="49"/>
        <v>0</v>
      </c>
      <c r="K823">
        <f t="shared" si="50"/>
        <v>0</v>
      </c>
      <c r="L823">
        <f t="shared" si="51"/>
        <v>1</v>
      </c>
    </row>
    <row r="824" spans="1:12" x14ac:dyDescent="0.25">
      <c r="A824" t="s">
        <v>957</v>
      </c>
      <c r="B824" t="s">
        <v>203</v>
      </c>
      <c r="C824">
        <v>12</v>
      </c>
      <c r="D824">
        <v>12</v>
      </c>
      <c r="G824">
        <v>24</v>
      </c>
      <c r="H824">
        <v>0</v>
      </c>
      <c r="I824">
        <f t="shared" si="48"/>
        <v>1</v>
      </c>
      <c r="J824">
        <f t="shared" si="49"/>
        <v>0</v>
      </c>
      <c r="K824">
        <f t="shared" si="50"/>
        <v>0</v>
      </c>
      <c r="L824">
        <f t="shared" si="51"/>
        <v>1</v>
      </c>
    </row>
    <row r="825" spans="1:12" x14ac:dyDescent="0.25">
      <c r="A825" t="s">
        <v>958</v>
      </c>
      <c r="B825" t="s">
        <v>203</v>
      </c>
      <c r="C825">
        <v>8</v>
      </c>
      <c r="D825">
        <v>6</v>
      </c>
      <c r="G825">
        <v>14</v>
      </c>
      <c r="H825">
        <v>0</v>
      </c>
      <c r="I825">
        <f t="shared" si="48"/>
        <v>1</v>
      </c>
      <c r="J825">
        <f t="shared" si="49"/>
        <v>0</v>
      </c>
      <c r="K825">
        <f t="shared" si="50"/>
        <v>0</v>
      </c>
      <c r="L825">
        <f t="shared" si="51"/>
        <v>1</v>
      </c>
    </row>
    <row r="826" spans="1:12" x14ac:dyDescent="0.25">
      <c r="A826" t="s">
        <v>959</v>
      </c>
      <c r="B826" t="s">
        <v>203</v>
      </c>
      <c r="C826">
        <v>12</v>
      </c>
      <c r="D826">
        <v>0</v>
      </c>
      <c r="G826">
        <v>12</v>
      </c>
      <c r="H826">
        <v>0</v>
      </c>
      <c r="I826">
        <f t="shared" si="48"/>
        <v>1</v>
      </c>
      <c r="J826">
        <f t="shared" si="49"/>
        <v>0</v>
      </c>
      <c r="K826">
        <f t="shared" si="50"/>
        <v>0</v>
      </c>
      <c r="L826">
        <f t="shared" si="51"/>
        <v>0</v>
      </c>
    </row>
    <row r="827" spans="1:12" x14ac:dyDescent="0.25">
      <c r="A827" t="s">
        <v>960</v>
      </c>
      <c r="B827" t="s">
        <v>203</v>
      </c>
      <c r="C827">
        <v>8</v>
      </c>
      <c r="D827">
        <v>4</v>
      </c>
      <c r="G827">
        <v>12</v>
      </c>
      <c r="H827">
        <v>0</v>
      </c>
      <c r="I827">
        <f t="shared" si="48"/>
        <v>1</v>
      </c>
      <c r="J827">
        <f t="shared" si="49"/>
        <v>0</v>
      </c>
      <c r="K827">
        <f t="shared" si="50"/>
        <v>0</v>
      </c>
      <c r="L827">
        <f t="shared" si="51"/>
        <v>1</v>
      </c>
    </row>
    <row r="828" spans="1:12" x14ac:dyDescent="0.25">
      <c r="A828" t="s">
        <v>961</v>
      </c>
      <c r="B828" t="s">
        <v>203</v>
      </c>
      <c r="C828">
        <v>2</v>
      </c>
      <c r="D828">
        <v>8</v>
      </c>
      <c r="G828">
        <v>10</v>
      </c>
      <c r="H828">
        <v>0</v>
      </c>
      <c r="I828">
        <f t="shared" si="48"/>
        <v>1</v>
      </c>
      <c r="J828">
        <f t="shared" si="49"/>
        <v>0</v>
      </c>
      <c r="K828">
        <f t="shared" si="50"/>
        <v>0</v>
      </c>
      <c r="L828">
        <f t="shared" si="51"/>
        <v>1</v>
      </c>
    </row>
    <row r="829" spans="1:12" x14ac:dyDescent="0.25">
      <c r="A829" t="s">
        <v>962</v>
      </c>
      <c r="B829" t="s">
        <v>203</v>
      </c>
      <c r="C829">
        <v>4</v>
      </c>
      <c r="D829">
        <v>12</v>
      </c>
      <c r="G829">
        <v>16</v>
      </c>
      <c r="H829">
        <v>0</v>
      </c>
      <c r="I829">
        <f t="shared" si="48"/>
        <v>1</v>
      </c>
      <c r="J829">
        <f t="shared" si="49"/>
        <v>0</v>
      </c>
      <c r="K829">
        <f t="shared" si="50"/>
        <v>0</v>
      </c>
      <c r="L829">
        <f t="shared" si="51"/>
        <v>1</v>
      </c>
    </row>
    <row r="830" spans="1:12" x14ac:dyDescent="0.25">
      <c r="A830" t="s">
        <v>963</v>
      </c>
      <c r="B830" t="s">
        <v>203</v>
      </c>
      <c r="C830">
        <v>1</v>
      </c>
      <c r="D830">
        <v>8</v>
      </c>
      <c r="G830">
        <v>9</v>
      </c>
      <c r="H830">
        <v>0</v>
      </c>
      <c r="I830">
        <f t="shared" si="48"/>
        <v>1</v>
      </c>
      <c r="J830">
        <f t="shared" si="49"/>
        <v>0</v>
      </c>
      <c r="K830">
        <f t="shared" si="50"/>
        <v>0</v>
      </c>
      <c r="L830">
        <f t="shared" si="51"/>
        <v>1</v>
      </c>
    </row>
    <row r="831" spans="1:12" x14ac:dyDescent="0.25">
      <c r="A831" t="s">
        <v>964</v>
      </c>
      <c r="B831" t="s">
        <v>203</v>
      </c>
      <c r="C831">
        <v>12</v>
      </c>
      <c r="D831">
        <v>0</v>
      </c>
      <c r="G831">
        <v>12</v>
      </c>
      <c r="H831">
        <v>0</v>
      </c>
      <c r="I831">
        <f t="shared" si="48"/>
        <v>1</v>
      </c>
      <c r="J831">
        <f t="shared" si="49"/>
        <v>0</v>
      </c>
      <c r="K831">
        <f t="shared" si="50"/>
        <v>0</v>
      </c>
      <c r="L831">
        <f t="shared" si="51"/>
        <v>0</v>
      </c>
    </row>
    <row r="832" spans="1:12" x14ac:dyDescent="0.25">
      <c r="A832" t="s">
        <v>965</v>
      </c>
      <c r="B832" t="s">
        <v>966</v>
      </c>
      <c r="C832">
        <v>12</v>
      </c>
      <c r="D832">
        <v>0</v>
      </c>
      <c r="G832">
        <v>12</v>
      </c>
      <c r="H832">
        <v>0</v>
      </c>
      <c r="I832">
        <f t="shared" si="48"/>
        <v>1</v>
      </c>
      <c r="J832">
        <f t="shared" si="49"/>
        <v>0</v>
      </c>
      <c r="K832">
        <f t="shared" si="50"/>
        <v>0</v>
      </c>
      <c r="L832">
        <f t="shared" si="51"/>
        <v>0</v>
      </c>
    </row>
    <row r="833" spans="1:12" x14ac:dyDescent="0.25">
      <c r="A833" t="s">
        <v>967</v>
      </c>
      <c r="B833" t="s">
        <v>966</v>
      </c>
      <c r="C833">
        <v>12</v>
      </c>
      <c r="D833">
        <v>0</v>
      </c>
      <c r="G833">
        <v>12</v>
      </c>
      <c r="H833">
        <v>0</v>
      </c>
      <c r="I833">
        <f t="shared" si="48"/>
        <v>1</v>
      </c>
      <c r="J833">
        <f t="shared" si="49"/>
        <v>0</v>
      </c>
      <c r="K833">
        <f t="shared" si="50"/>
        <v>0</v>
      </c>
      <c r="L833">
        <f t="shared" si="51"/>
        <v>0</v>
      </c>
    </row>
    <row r="834" spans="1:12" x14ac:dyDescent="0.25">
      <c r="A834" t="s">
        <v>968</v>
      </c>
      <c r="B834" t="s">
        <v>966</v>
      </c>
      <c r="C834">
        <v>16</v>
      </c>
      <c r="D834">
        <v>2</v>
      </c>
      <c r="G834">
        <v>18</v>
      </c>
      <c r="H834">
        <v>0</v>
      </c>
      <c r="I834">
        <f t="shared" si="48"/>
        <v>1</v>
      </c>
      <c r="J834">
        <f t="shared" si="49"/>
        <v>0</v>
      </c>
      <c r="K834">
        <f t="shared" si="50"/>
        <v>0</v>
      </c>
      <c r="L834">
        <f t="shared" si="51"/>
        <v>1</v>
      </c>
    </row>
    <row r="835" spans="1:12" x14ac:dyDescent="0.25">
      <c r="A835" t="s">
        <v>969</v>
      </c>
      <c r="B835" t="s">
        <v>966</v>
      </c>
      <c r="C835">
        <v>4</v>
      </c>
      <c r="D835">
        <v>0</v>
      </c>
      <c r="G835">
        <v>4</v>
      </c>
      <c r="H835">
        <v>0</v>
      </c>
      <c r="I835">
        <f t="shared" ref="I835:I898" si="52">IF(C835&gt;0, 1, 0)</f>
        <v>1</v>
      </c>
      <c r="J835">
        <f t="shared" ref="J835:J898" si="53">IF(E835&gt;0, 1,0)</f>
        <v>0</v>
      </c>
      <c r="K835">
        <f t="shared" ref="K835:K898" si="54">IF(F835&gt;0, 1, 0)</f>
        <v>0</v>
      </c>
      <c r="L835">
        <f t="shared" ref="L835:L898" si="55">IF(D835&gt;0, 1, 0)</f>
        <v>0</v>
      </c>
    </row>
    <row r="836" spans="1:12" x14ac:dyDescent="0.25">
      <c r="A836" t="s">
        <v>970</v>
      </c>
      <c r="B836" t="s">
        <v>966</v>
      </c>
      <c r="C836">
        <v>10</v>
      </c>
      <c r="D836">
        <v>0</v>
      </c>
      <c r="G836">
        <v>10</v>
      </c>
      <c r="H836">
        <v>0</v>
      </c>
      <c r="I836">
        <f t="shared" si="52"/>
        <v>1</v>
      </c>
      <c r="J836">
        <f t="shared" si="53"/>
        <v>0</v>
      </c>
      <c r="K836">
        <f t="shared" si="54"/>
        <v>0</v>
      </c>
      <c r="L836">
        <f t="shared" si="55"/>
        <v>0</v>
      </c>
    </row>
    <row r="837" spans="1:12" x14ac:dyDescent="0.25">
      <c r="A837" t="s">
        <v>971</v>
      </c>
      <c r="B837" t="s">
        <v>966</v>
      </c>
      <c r="C837">
        <v>2</v>
      </c>
      <c r="D837">
        <v>6</v>
      </c>
      <c r="G837">
        <v>8</v>
      </c>
      <c r="H837">
        <v>0</v>
      </c>
      <c r="I837">
        <f t="shared" si="52"/>
        <v>1</v>
      </c>
      <c r="J837">
        <f t="shared" si="53"/>
        <v>0</v>
      </c>
      <c r="K837">
        <f t="shared" si="54"/>
        <v>0</v>
      </c>
      <c r="L837">
        <f t="shared" si="55"/>
        <v>1</v>
      </c>
    </row>
    <row r="838" spans="1:12" x14ac:dyDescent="0.25">
      <c r="A838" t="s">
        <v>972</v>
      </c>
      <c r="B838" t="s">
        <v>966</v>
      </c>
      <c r="C838">
        <v>6</v>
      </c>
      <c r="D838">
        <v>12</v>
      </c>
      <c r="G838">
        <v>18</v>
      </c>
      <c r="H838">
        <v>0</v>
      </c>
      <c r="I838">
        <f t="shared" si="52"/>
        <v>1</v>
      </c>
      <c r="J838">
        <f t="shared" si="53"/>
        <v>0</v>
      </c>
      <c r="K838">
        <f t="shared" si="54"/>
        <v>0</v>
      </c>
      <c r="L838">
        <f t="shared" si="55"/>
        <v>1</v>
      </c>
    </row>
    <row r="839" spans="1:12" x14ac:dyDescent="0.25">
      <c r="A839" t="s">
        <v>973</v>
      </c>
      <c r="B839" t="s">
        <v>966</v>
      </c>
      <c r="C839">
        <v>12</v>
      </c>
      <c r="D839">
        <v>0</v>
      </c>
      <c r="G839">
        <v>12</v>
      </c>
      <c r="H839">
        <v>0</v>
      </c>
      <c r="I839">
        <f t="shared" si="52"/>
        <v>1</v>
      </c>
      <c r="J839">
        <f t="shared" si="53"/>
        <v>0</v>
      </c>
      <c r="K839">
        <f t="shared" si="54"/>
        <v>0</v>
      </c>
      <c r="L839">
        <f t="shared" si="55"/>
        <v>0</v>
      </c>
    </row>
    <row r="840" spans="1:12" x14ac:dyDescent="0.25">
      <c r="A840" t="s">
        <v>974</v>
      </c>
      <c r="B840" t="s">
        <v>966</v>
      </c>
      <c r="C840">
        <v>2</v>
      </c>
      <c r="D840">
        <v>12</v>
      </c>
      <c r="G840">
        <v>14</v>
      </c>
      <c r="H840">
        <v>0</v>
      </c>
      <c r="I840">
        <f t="shared" si="52"/>
        <v>1</v>
      </c>
      <c r="J840">
        <f t="shared" si="53"/>
        <v>0</v>
      </c>
      <c r="K840">
        <f t="shared" si="54"/>
        <v>0</v>
      </c>
      <c r="L840">
        <f t="shared" si="55"/>
        <v>1</v>
      </c>
    </row>
    <row r="841" spans="1:12" x14ac:dyDescent="0.25">
      <c r="A841" t="s">
        <v>975</v>
      </c>
      <c r="B841" t="s">
        <v>966</v>
      </c>
      <c r="C841">
        <v>4</v>
      </c>
      <c r="D841">
        <v>0</v>
      </c>
      <c r="G841">
        <v>4</v>
      </c>
      <c r="H841">
        <v>0</v>
      </c>
      <c r="I841">
        <f t="shared" si="52"/>
        <v>1</v>
      </c>
      <c r="J841">
        <f t="shared" si="53"/>
        <v>0</v>
      </c>
      <c r="K841">
        <f t="shared" si="54"/>
        <v>0</v>
      </c>
      <c r="L841">
        <f t="shared" si="55"/>
        <v>0</v>
      </c>
    </row>
    <row r="842" spans="1:12" x14ac:dyDescent="0.25">
      <c r="A842" t="s">
        <v>976</v>
      </c>
      <c r="B842" t="s">
        <v>44</v>
      </c>
      <c r="C842">
        <v>6</v>
      </c>
      <c r="D842">
        <v>6</v>
      </c>
      <c r="G842">
        <v>12</v>
      </c>
      <c r="H842">
        <v>0</v>
      </c>
      <c r="I842">
        <f t="shared" si="52"/>
        <v>1</v>
      </c>
      <c r="J842">
        <f t="shared" si="53"/>
        <v>0</v>
      </c>
      <c r="K842">
        <f t="shared" si="54"/>
        <v>0</v>
      </c>
      <c r="L842">
        <f t="shared" si="55"/>
        <v>1</v>
      </c>
    </row>
    <row r="843" spans="1:12" x14ac:dyDescent="0.25">
      <c r="A843" t="s">
        <v>977</v>
      </c>
      <c r="B843" t="s">
        <v>44</v>
      </c>
      <c r="C843">
        <v>6</v>
      </c>
      <c r="D843">
        <v>6</v>
      </c>
      <c r="G843">
        <v>12</v>
      </c>
      <c r="H843">
        <v>0</v>
      </c>
      <c r="I843">
        <f t="shared" si="52"/>
        <v>1</v>
      </c>
      <c r="J843">
        <f t="shared" si="53"/>
        <v>0</v>
      </c>
      <c r="K843">
        <f t="shared" si="54"/>
        <v>0</v>
      </c>
      <c r="L843">
        <f t="shared" si="55"/>
        <v>1</v>
      </c>
    </row>
    <row r="844" spans="1:12" x14ac:dyDescent="0.25">
      <c r="A844" t="s">
        <v>978</v>
      </c>
      <c r="B844" t="s">
        <v>44</v>
      </c>
      <c r="C844">
        <v>6</v>
      </c>
      <c r="D844">
        <v>6</v>
      </c>
      <c r="G844">
        <v>12</v>
      </c>
      <c r="H844">
        <v>0</v>
      </c>
      <c r="I844">
        <f t="shared" si="52"/>
        <v>1</v>
      </c>
      <c r="J844">
        <f t="shared" si="53"/>
        <v>0</v>
      </c>
      <c r="K844">
        <f t="shared" si="54"/>
        <v>0</v>
      </c>
      <c r="L844">
        <f t="shared" si="55"/>
        <v>1</v>
      </c>
    </row>
    <row r="845" spans="1:12" x14ac:dyDescent="0.25">
      <c r="A845" t="s">
        <v>979</v>
      </c>
      <c r="B845" t="s">
        <v>44</v>
      </c>
      <c r="C845">
        <v>12</v>
      </c>
      <c r="E845">
        <v>2</v>
      </c>
      <c r="G845">
        <v>12</v>
      </c>
      <c r="H845">
        <v>2</v>
      </c>
      <c r="I845">
        <f t="shared" si="52"/>
        <v>1</v>
      </c>
      <c r="J845">
        <f t="shared" si="53"/>
        <v>1</v>
      </c>
      <c r="K845">
        <f t="shared" si="54"/>
        <v>0</v>
      </c>
      <c r="L845">
        <f t="shared" si="55"/>
        <v>0</v>
      </c>
    </row>
    <row r="846" spans="1:12" x14ac:dyDescent="0.25">
      <c r="A846" t="s">
        <v>980</v>
      </c>
      <c r="B846" t="s">
        <v>44</v>
      </c>
      <c r="C846">
        <v>12</v>
      </c>
      <c r="D846">
        <v>12</v>
      </c>
      <c r="G846">
        <v>24</v>
      </c>
      <c r="H846">
        <v>0</v>
      </c>
      <c r="I846">
        <f t="shared" si="52"/>
        <v>1</v>
      </c>
      <c r="J846">
        <f t="shared" si="53"/>
        <v>0</v>
      </c>
      <c r="K846">
        <f t="shared" si="54"/>
        <v>0</v>
      </c>
      <c r="L846">
        <f t="shared" si="55"/>
        <v>1</v>
      </c>
    </row>
    <row r="847" spans="1:12" x14ac:dyDescent="0.25">
      <c r="A847" t="s">
        <v>981</v>
      </c>
      <c r="B847" t="s">
        <v>44</v>
      </c>
      <c r="C847">
        <v>7</v>
      </c>
      <c r="D847">
        <v>0</v>
      </c>
      <c r="G847">
        <v>7</v>
      </c>
      <c r="H847">
        <v>0</v>
      </c>
      <c r="I847">
        <f t="shared" si="52"/>
        <v>1</v>
      </c>
      <c r="J847">
        <f t="shared" si="53"/>
        <v>0</v>
      </c>
      <c r="K847">
        <f t="shared" si="54"/>
        <v>0</v>
      </c>
      <c r="L847">
        <f t="shared" si="55"/>
        <v>0</v>
      </c>
    </row>
    <row r="848" spans="1:12" x14ac:dyDescent="0.25">
      <c r="A848" t="s">
        <v>982</v>
      </c>
      <c r="B848" t="s">
        <v>44</v>
      </c>
      <c r="C848">
        <v>9</v>
      </c>
      <c r="D848">
        <v>0</v>
      </c>
      <c r="G848">
        <v>9</v>
      </c>
      <c r="H848">
        <v>0</v>
      </c>
      <c r="I848">
        <f t="shared" si="52"/>
        <v>1</v>
      </c>
      <c r="J848">
        <f t="shared" si="53"/>
        <v>0</v>
      </c>
      <c r="K848">
        <f t="shared" si="54"/>
        <v>0</v>
      </c>
      <c r="L848">
        <f t="shared" si="55"/>
        <v>0</v>
      </c>
    </row>
    <row r="849" spans="1:12" x14ac:dyDescent="0.25">
      <c r="A849" t="s">
        <v>983</v>
      </c>
      <c r="B849" t="s">
        <v>44</v>
      </c>
      <c r="C849">
        <v>10</v>
      </c>
      <c r="D849">
        <v>2</v>
      </c>
      <c r="G849">
        <v>12</v>
      </c>
      <c r="H849">
        <v>0</v>
      </c>
      <c r="I849">
        <f t="shared" si="52"/>
        <v>1</v>
      </c>
      <c r="J849">
        <f t="shared" si="53"/>
        <v>0</v>
      </c>
      <c r="K849">
        <f t="shared" si="54"/>
        <v>0</v>
      </c>
      <c r="L849">
        <f t="shared" si="55"/>
        <v>1</v>
      </c>
    </row>
    <row r="850" spans="1:12" x14ac:dyDescent="0.25">
      <c r="A850" t="s">
        <v>984</v>
      </c>
      <c r="B850" t="s">
        <v>44</v>
      </c>
      <c r="C850">
        <v>1</v>
      </c>
      <c r="D850">
        <v>12</v>
      </c>
      <c r="G850">
        <v>13</v>
      </c>
      <c r="H850">
        <v>0</v>
      </c>
      <c r="I850">
        <f t="shared" si="52"/>
        <v>1</v>
      </c>
      <c r="J850">
        <f t="shared" si="53"/>
        <v>0</v>
      </c>
      <c r="K850">
        <f t="shared" si="54"/>
        <v>0</v>
      </c>
      <c r="L850">
        <f t="shared" si="55"/>
        <v>1</v>
      </c>
    </row>
    <row r="851" spans="1:12" x14ac:dyDescent="0.25">
      <c r="A851" t="s">
        <v>985</v>
      </c>
      <c r="B851" t="s">
        <v>44</v>
      </c>
      <c r="C851">
        <v>12</v>
      </c>
      <c r="D851">
        <v>0</v>
      </c>
      <c r="G851">
        <v>12</v>
      </c>
      <c r="H851">
        <v>0</v>
      </c>
      <c r="I851">
        <f t="shared" si="52"/>
        <v>1</v>
      </c>
      <c r="J851">
        <f t="shared" si="53"/>
        <v>0</v>
      </c>
      <c r="K851">
        <f t="shared" si="54"/>
        <v>0</v>
      </c>
      <c r="L851">
        <f t="shared" si="55"/>
        <v>0</v>
      </c>
    </row>
    <row r="852" spans="1:12" x14ac:dyDescent="0.25">
      <c r="A852" t="s">
        <v>986</v>
      </c>
      <c r="B852" t="s">
        <v>987</v>
      </c>
      <c r="C852">
        <v>4</v>
      </c>
      <c r="D852">
        <v>0</v>
      </c>
      <c r="G852">
        <v>4</v>
      </c>
      <c r="H852">
        <v>0</v>
      </c>
      <c r="I852">
        <f t="shared" si="52"/>
        <v>1</v>
      </c>
      <c r="J852">
        <f t="shared" si="53"/>
        <v>0</v>
      </c>
      <c r="K852">
        <f t="shared" si="54"/>
        <v>0</v>
      </c>
      <c r="L852">
        <f t="shared" si="55"/>
        <v>0</v>
      </c>
    </row>
    <row r="853" spans="1:12" x14ac:dyDescent="0.25">
      <c r="A853" t="s">
        <v>988</v>
      </c>
      <c r="B853" t="s">
        <v>987</v>
      </c>
      <c r="C853">
        <v>4</v>
      </c>
      <c r="D853">
        <v>0</v>
      </c>
      <c r="G853">
        <v>4</v>
      </c>
      <c r="H853">
        <v>0</v>
      </c>
      <c r="I853">
        <f t="shared" si="52"/>
        <v>1</v>
      </c>
      <c r="J853">
        <f t="shared" si="53"/>
        <v>0</v>
      </c>
      <c r="K853">
        <f t="shared" si="54"/>
        <v>0</v>
      </c>
      <c r="L853">
        <f t="shared" si="55"/>
        <v>0</v>
      </c>
    </row>
    <row r="854" spans="1:12" x14ac:dyDescent="0.25">
      <c r="A854" t="s">
        <v>989</v>
      </c>
      <c r="B854" t="s">
        <v>987</v>
      </c>
      <c r="C854">
        <v>6</v>
      </c>
      <c r="D854">
        <v>6</v>
      </c>
      <c r="G854">
        <v>12</v>
      </c>
      <c r="H854">
        <v>0</v>
      </c>
      <c r="I854">
        <f t="shared" si="52"/>
        <v>1</v>
      </c>
      <c r="J854">
        <f t="shared" si="53"/>
        <v>0</v>
      </c>
      <c r="K854">
        <f t="shared" si="54"/>
        <v>0</v>
      </c>
      <c r="L854">
        <f t="shared" si="55"/>
        <v>1</v>
      </c>
    </row>
    <row r="855" spans="1:12" x14ac:dyDescent="0.25">
      <c r="A855" t="s">
        <v>990</v>
      </c>
      <c r="B855" t="s">
        <v>987</v>
      </c>
      <c r="C855">
        <v>12</v>
      </c>
      <c r="D855">
        <v>0</v>
      </c>
      <c r="G855">
        <v>12</v>
      </c>
      <c r="H855">
        <v>0</v>
      </c>
      <c r="I855">
        <f t="shared" si="52"/>
        <v>1</v>
      </c>
      <c r="J855">
        <f t="shared" si="53"/>
        <v>0</v>
      </c>
      <c r="K855">
        <f t="shared" si="54"/>
        <v>0</v>
      </c>
      <c r="L855">
        <f t="shared" si="55"/>
        <v>0</v>
      </c>
    </row>
    <row r="856" spans="1:12" x14ac:dyDescent="0.25">
      <c r="A856" t="s">
        <v>991</v>
      </c>
      <c r="B856" t="s">
        <v>987</v>
      </c>
      <c r="C856">
        <v>12</v>
      </c>
      <c r="D856">
        <v>12</v>
      </c>
      <c r="G856">
        <v>24</v>
      </c>
      <c r="H856">
        <v>0</v>
      </c>
      <c r="I856">
        <f t="shared" si="52"/>
        <v>1</v>
      </c>
      <c r="J856">
        <f t="shared" si="53"/>
        <v>0</v>
      </c>
      <c r="K856">
        <f t="shared" si="54"/>
        <v>0</v>
      </c>
      <c r="L856">
        <f t="shared" si="55"/>
        <v>1</v>
      </c>
    </row>
    <row r="857" spans="1:12" x14ac:dyDescent="0.25">
      <c r="A857" t="s">
        <v>992</v>
      </c>
      <c r="B857" t="s">
        <v>213</v>
      </c>
      <c r="C857">
        <v>9</v>
      </c>
      <c r="D857">
        <v>6</v>
      </c>
      <c r="G857">
        <v>15</v>
      </c>
      <c r="H857">
        <v>0</v>
      </c>
      <c r="I857">
        <f t="shared" si="52"/>
        <v>1</v>
      </c>
      <c r="J857">
        <f t="shared" si="53"/>
        <v>0</v>
      </c>
      <c r="K857">
        <f t="shared" si="54"/>
        <v>0</v>
      </c>
      <c r="L857">
        <f t="shared" si="55"/>
        <v>1</v>
      </c>
    </row>
    <row r="858" spans="1:12" x14ac:dyDescent="0.25">
      <c r="A858" t="s">
        <v>993</v>
      </c>
      <c r="B858" t="s">
        <v>213</v>
      </c>
      <c r="C858">
        <v>6</v>
      </c>
      <c r="D858">
        <v>6</v>
      </c>
      <c r="G858">
        <v>12</v>
      </c>
      <c r="H858">
        <v>0</v>
      </c>
      <c r="I858">
        <f t="shared" si="52"/>
        <v>1</v>
      </c>
      <c r="J858">
        <f t="shared" si="53"/>
        <v>0</v>
      </c>
      <c r="K858">
        <f t="shared" si="54"/>
        <v>0</v>
      </c>
      <c r="L858">
        <f t="shared" si="55"/>
        <v>1</v>
      </c>
    </row>
    <row r="859" spans="1:12" x14ac:dyDescent="0.25">
      <c r="A859" t="s">
        <v>994</v>
      </c>
      <c r="B859" t="s">
        <v>213</v>
      </c>
      <c r="C859">
        <v>6</v>
      </c>
      <c r="D859">
        <v>7.5</v>
      </c>
      <c r="G859">
        <v>13.5</v>
      </c>
      <c r="H859">
        <v>0</v>
      </c>
      <c r="I859">
        <f t="shared" si="52"/>
        <v>1</v>
      </c>
      <c r="J859">
        <f t="shared" si="53"/>
        <v>0</v>
      </c>
      <c r="K859">
        <f t="shared" si="54"/>
        <v>0</v>
      </c>
      <c r="L859">
        <f t="shared" si="55"/>
        <v>1</v>
      </c>
    </row>
    <row r="860" spans="1:12" x14ac:dyDescent="0.25">
      <c r="A860" t="s">
        <v>995</v>
      </c>
      <c r="B860" t="s">
        <v>215</v>
      </c>
      <c r="C860">
        <v>26</v>
      </c>
      <c r="D860">
        <v>0</v>
      </c>
      <c r="G860">
        <v>26</v>
      </c>
      <c r="H860">
        <v>0</v>
      </c>
      <c r="I860">
        <f t="shared" si="52"/>
        <v>1</v>
      </c>
      <c r="J860">
        <f t="shared" si="53"/>
        <v>0</v>
      </c>
      <c r="K860">
        <f t="shared" si="54"/>
        <v>0</v>
      </c>
      <c r="L860">
        <f t="shared" si="55"/>
        <v>0</v>
      </c>
    </row>
    <row r="861" spans="1:12" x14ac:dyDescent="0.25">
      <c r="A861" t="s">
        <v>996</v>
      </c>
      <c r="B861" t="s">
        <v>215</v>
      </c>
      <c r="C861">
        <v>9</v>
      </c>
      <c r="D861">
        <v>3</v>
      </c>
      <c r="G861">
        <v>12</v>
      </c>
      <c r="H861">
        <v>0</v>
      </c>
      <c r="I861">
        <f t="shared" si="52"/>
        <v>1</v>
      </c>
      <c r="J861">
        <f t="shared" si="53"/>
        <v>0</v>
      </c>
      <c r="K861">
        <f t="shared" si="54"/>
        <v>0</v>
      </c>
      <c r="L861">
        <f t="shared" si="55"/>
        <v>1</v>
      </c>
    </row>
    <row r="862" spans="1:12" x14ac:dyDescent="0.25">
      <c r="A862" t="s">
        <v>997</v>
      </c>
      <c r="B862" t="s">
        <v>215</v>
      </c>
      <c r="C862">
        <v>13</v>
      </c>
      <c r="D862">
        <v>20</v>
      </c>
      <c r="G862">
        <v>33</v>
      </c>
      <c r="H862">
        <v>0</v>
      </c>
      <c r="I862">
        <f t="shared" si="52"/>
        <v>1</v>
      </c>
      <c r="J862">
        <f t="shared" si="53"/>
        <v>0</v>
      </c>
      <c r="K862">
        <f t="shared" si="54"/>
        <v>0</v>
      </c>
      <c r="L862">
        <f t="shared" si="55"/>
        <v>1</v>
      </c>
    </row>
    <row r="863" spans="1:12" x14ac:dyDescent="0.25">
      <c r="A863" t="s">
        <v>998</v>
      </c>
      <c r="B863" t="s">
        <v>215</v>
      </c>
      <c r="C863">
        <v>16</v>
      </c>
      <c r="D863">
        <v>0</v>
      </c>
      <c r="G863">
        <v>16</v>
      </c>
      <c r="H863">
        <v>0</v>
      </c>
      <c r="I863">
        <f t="shared" si="52"/>
        <v>1</v>
      </c>
      <c r="J863">
        <f t="shared" si="53"/>
        <v>0</v>
      </c>
      <c r="K863">
        <f t="shared" si="54"/>
        <v>0</v>
      </c>
      <c r="L863">
        <f t="shared" si="55"/>
        <v>0</v>
      </c>
    </row>
    <row r="864" spans="1:12" x14ac:dyDescent="0.25">
      <c r="A864" t="s">
        <v>999</v>
      </c>
      <c r="B864" t="s">
        <v>215</v>
      </c>
      <c r="C864">
        <v>2</v>
      </c>
      <c r="D864">
        <v>6</v>
      </c>
      <c r="G864">
        <v>8</v>
      </c>
      <c r="H864">
        <v>0</v>
      </c>
      <c r="I864">
        <f t="shared" si="52"/>
        <v>1</v>
      </c>
      <c r="J864">
        <f t="shared" si="53"/>
        <v>0</v>
      </c>
      <c r="K864">
        <f t="shared" si="54"/>
        <v>0</v>
      </c>
      <c r="L864">
        <f t="shared" si="55"/>
        <v>1</v>
      </c>
    </row>
    <row r="865" spans="1:12" x14ac:dyDescent="0.25">
      <c r="A865" t="s">
        <v>1000</v>
      </c>
      <c r="B865" t="s">
        <v>218</v>
      </c>
      <c r="C865">
        <v>15</v>
      </c>
      <c r="D865">
        <v>20</v>
      </c>
      <c r="G865">
        <v>35</v>
      </c>
      <c r="H865">
        <v>0</v>
      </c>
      <c r="I865">
        <f t="shared" si="52"/>
        <v>1</v>
      </c>
      <c r="J865">
        <f t="shared" si="53"/>
        <v>0</v>
      </c>
      <c r="K865">
        <f t="shared" si="54"/>
        <v>0</v>
      </c>
      <c r="L865">
        <f t="shared" si="55"/>
        <v>1</v>
      </c>
    </row>
    <row r="866" spans="1:12" x14ac:dyDescent="0.25">
      <c r="A866" t="s">
        <v>1001</v>
      </c>
      <c r="B866" t="s">
        <v>218</v>
      </c>
      <c r="C866">
        <v>15</v>
      </c>
      <c r="D866">
        <v>2.5</v>
      </c>
      <c r="G866">
        <v>17.5</v>
      </c>
      <c r="H866">
        <v>0</v>
      </c>
      <c r="I866">
        <f t="shared" si="52"/>
        <v>1</v>
      </c>
      <c r="J866">
        <f t="shared" si="53"/>
        <v>0</v>
      </c>
      <c r="K866">
        <f t="shared" si="54"/>
        <v>0</v>
      </c>
      <c r="L866">
        <f t="shared" si="55"/>
        <v>1</v>
      </c>
    </row>
    <row r="867" spans="1:12" x14ac:dyDescent="0.25">
      <c r="A867" t="s">
        <v>1002</v>
      </c>
      <c r="B867" t="s">
        <v>218</v>
      </c>
      <c r="C867">
        <v>12</v>
      </c>
      <c r="D867">
        <v>0</v>
      </c>
      <c r="G867">
        <v>12</v>
      </c>
      <c r="H867">
        <v>0</v>
      </c>
      <c r="I867">
        <f t="shared" si="52"/>
        <v>1</v>
      </c>
      <c r="J867">
        <f t="shared" si="53"/>
        <v>0</v>
      </c>
      <c r="K867">
        <f t="shared" si="54"/>
        <v>0</v>
      </c>
      <c r="L867">
        <f t="shared" si="55"/>
        <v>0</v>
      </c>
    </row>
    <row r="868" spans="1:12" x14ac:dyDescent="0.25">
      <c r="A868" t="s">
        <v>1003</v>
      </c>
      <c r="B868" t="s">
        <v>218</v>
      </c>
      <c r="C868">
        <v>24</v>
      </c>
      <c r="D868">
        <v>8</v>
      </c>
      <c r="G868">
        <v>32</v>
      </c>
      <c r="H868">
        <v>0</v>
      </c>
      <c r="I868">
        <f t="shared" si="52"/>
        <v>1</v>
      </c>
      <c r="J868">
        <f t="shared" si="53"/>
        <v>0</v>
      </c>
      <c r="K868">
        <f t="shared" si="54"/>
        <v>0</v>
      </c>
      <c r="L868">
        <f t="shared" si="55"/>
        <v>1</v>
      </c>
    </row>
    <row r="869" spans="1:12" x14ac:dyDescent="0.25">
      <c r="A869" t="s">
        <v>1004</v>
      </c>
      <c r="B869" t="s">
        <v>218</v>
      </c>
      <c r="C869">
        <v>15</v>
      </c>
      <c r="D869">
        <v>0</v>
      </c>
      <c r="G869">
        <v>15</v>
      </c>
      <c r="H869">
        <v>0</v>
      </c>
      <c r="I869">
        <f t="shared" si="52"/>
        <v>1</v>
      </c>
      <c r="J869">
        <f t="shared" si="53"/>
        <v>0</v>
      </c>
      <c r="K869">
        <f t="shared" si="54"/>
        <v>0</v>
      </c>
      <c r="L869">
        <f t="shared" si="55"/>
        <v>0</v>
      </c>
    </row>
    <row r="870" spans="1:12" x14ac:dyDescent="0.25">
      <c r="A870" t="s">
        <v>1005</v>
      </c>
      <c r="B870" t="s">
        <v>218</v>
      </c>
      <c r="C870">
        <v>17</v>
      </c>
      <c r="D870">
        <v>0</v>
      </c>
      <c r="G870">
        <v>17</v>
      </c>
      <c r="H870">
        <v>0</v>
      </c>
      <c r="I870">
        <f t="shared" si="52"/>
        <v>1</v>
      </c>
      <c r="J870">
        <f t="shared" si="53"/>
        <v>0</v>
      </c>
      <c r="K870">
        <f t="shared" si="54"/>
        <v>0</v>
      </c>
      <c r="L870">
        <f t="shared" si="55"/>
        <v>0</v>
      </c>
    </row>
    <row r="871" spans="1:12" x14ac:dyDescent="0.25">
      <c r="A871" t="s">
        <v>1006</v>
      </c>
      <c r="B871" t="s">
        <v>1007</v>
      </c>
      <c r="C871">
        <v>12</v>
      </c>
      <c r="D871">
        <v>10</v>
      </c>
      <c r="G871">
        <v>22</v>
      </c>
      <c r="H871">
        <v>0</v>
      </c>
      <c r="I871">
        <f t="shared" si="52"/>
        <v>1</v>
      </c>
      <c r="J871">
        <f t="shared" si="53"/>
        <v>0</v>
      </c>
      <c r="K871">
        <f t="shared" si="54"/>
        <v>0</v>
      </c>
      <c r="L871">
        <f t="shared" si="55"/>
        <v>1</v>
      </c>
    </row>
    <row r="872" spans="1:12" x14ac:dyDescent="0.25">
      <c r="A872" t="s">
        <v>1008</v>
      </c>
      <c r="B872" t="s">
        <v>220</v>
      </c>
      <c r="C872">
        <v>12</v>
      </c>
      <c r="D872">
        <v>8</v>
      </c>
      <c r="G872">
        <v>20</v>
      </c>
      <c r="H872">
        <v>0</v>
      </c>
      <c r="I872">
        <f t="shared" si="52"/>
        <v>1</v>
      </c>
      <c r="J872">
        <f t="shared" si="53"/>
        <v>0</v>
      </c>
      <c r="K872">
        <f t="shared" si="54"/>
        <v>0</v>
      </c>
      <c r="L872">
        <f t="shared" si="55"/>
        <v>1</v>
      </c>
    </row>
    <row r="873" spans="1:12" x14ac:dyDescent="0.25">
      <c r="A873" t="s">
        <v>1009</v>
      </c>
      <c r="B873" t="s">
        <v>220</v>
      </c>
      <c r="C873">
        <v>16</v>
      </c>
      <c r="D873">
        <v>1.5</v>
      </c>
      <c r="G873">
        <v>17.5</v>
      </c>
      <c r="H873">
        <v>0</v>
      </c>
      <c r="I873">
        <f t="shared" si="52"/>
        <v>1</v>
      </c>
      <c r="J873">
        <f t="shared" si="53"/>
        <v>0</v>
      </c>
      <c r="K873">
        <f t="shared" si="54"/>
        <v>0</v>
      </c>
      <c r="L873">
        <f t="shared" si="55"/>
        <v>1</v>
      </c>
    </row>
    <row r="874" spans="1:12" x14ac:dyDescent="0.25">
      <c r="A874" t="s">
        <v>1010</v>
      </c>
      <c r="B874" t="s">
        <v>220</v>
      </c>
      <c r="C874">
        <v>12</v>
      </c>
      <c r="D874">
        <v>0</v>
      </c>
      <c r="G874">
        <v>12</v>
      </c>
      <c r="H874">
        <v>0</v>
      </c>
      <c r="I874">
        <f t="shared" si="52"/>
        <v>1</v>
      </c>
      <c r="J874">
        <f t="shared" si="53"/>
        <v>0</v>
      </c>
      <c r="K874">
        <f t="shared" si="54"/>
        <v>0</v>
      </c>
      <c r="L874">
        <f t="shared" si="55"/>
        <v>0</v>
      </c>
    </row>
    <row r="875" spans="1:12" x14ac:dyDescent="0.25">
      <c r="A875" t="s">
        <v>1011</v>
      </c>
      <c r="B875" t="s">
        <v>220</v>
      </c>
      <c r="C875">
        <v>16</v>
      </c>
      <c r="D875">
        <v>0</v>
      </c>
      <c r="G875">
        <v>16</v>
      </c>
      <c r="H875">
        <v>0</v>
      </c>
      <c r="I875">
        <f t="shared" si="52"/>
        <v>1</v>
      </c>
      <c r="J875">
        <f t="shared" si="53"/>
        <v>0</v>
      </c>
      <c r="K875">
        <f t="shared" si="54"/>
        <v>0</v>
      </c>
      <c r="L875">
        <f t="shared" si="55"/>
        <v>0</v>
      </c>
    </row>
    <row r="876" spans="1:12" x14ac:dyDescent="0.25">
      <c r="A876" t="s">
        <v>1012</v>
      </c>
      <c r="B876" t="s">
        <v>220</v>
      </c>
      <c r="C876">
        <v>12</v>
      </c>
      <c r="E876">
        <v>12</v>
      </c>
      <c r="G876">
        <v>12</v>
      </c>
      <c r="H876">
        <v>12</v>
      </c>
      <c r="I876">
        <f t="shared" si="52"/>
        <v>1</v>
      </c>
      <c r="J876">
        <f t="shared" si="53"/>
        <v>1</v>
      </c>
      <c r="K876">
        <f t="shared" si="54"/>
        <v>0</v>
      </c>
      <c r="L876">
        <f t="shared" si="55"/>
        <v>0</v>
      </c>
    </row>
    <row r="877" spans="1:12" x14ac:dyDescent="0.25">
      <c r="A877" t="s">
        <v>1013</v>
      </c>
      <c r="B877" t="s">
        <v>220</v>
      </c>
      <c r="C877">
        <v>10</v>
      </c>
      <c r="D877">
        <v>8</v>
      </c>
      <c r="G877">
        <v>18</v>
      </c>
      <c r="H877">
        <v>0</v>
      </c>
      <c r="I877">
        <f t="shared" si="52"/>
        <v>1</v>
      </c>
      <c r="J877">
        <f t="shared" si="53"/>
        <v>0</v>
      </c>
      <c r="K877">
        <f t="shared" si="54"/>
        <v>0</v>
      </c>
      <c r="L877">
        <f t="shared" si="55"/>
        <v>1</v>
      </c>
    </row>
    <row r="878" spans="1:12" x14ac:dyDescent="0.25">
      <c r="A878" t="s">
        <v>1014</v>
      </c>
      <c r="B878" t="s">
        <v>220</v>
      </c>
      <c r="C878">
        <v>5</v>
      </c>
      <c r="D878">
        <v>0</v>
      </c>
      <c r="G878">
        <v>5</v>
      </c>
      <c r="H878">
        <v>0</v>
      </c>
      <c r="I878">
        <f t="shared" si="52"/>
        <v>1</v>
      </c>
      <c r="J878">
        <f t="shared" si="53"/>
        <v>0</v>
      </c>
      <c r="K878">
        <f t="shared" si="54"/>
        <v>0</v>
      </c>
      <c r="L878">
        <f t="shared" si="55"/>
        <v>0</v>
      </c>
    </row>
    <row r="879" spans="1:12" x14ac:dyDescent="0.25">
      <c r="A879" t="s">
        <v>1015</v>
      </c>
      <c r="B879" t="s">
        <v>220</v>
      </c>
      <c r="C879">
        <v>3</v>
      </c>
      <c r="D879">
        <v>3</v>
      </c>
      <c r="G879">
        <v>6</v>
      </c>
      <c r="H879">
        <v>0</v>
      </c>
      <c r="I879">
        <f t="shared" si="52"/>
        <v>1</v>
      </c>
      <c r="J879">
        <f t="shared" si="53"/>
        <v>0</v>
      </c>
      <c r="K879">
        <f t="shared" si="54"/>
        <v>0</v>
      </c>
      <c r="L879">
        <f t="shared" si="55"/>
        <v>1</v>
      </c>
    </row>
    <row r="880" spans="1:12" x14ac:dyDescent="0.25">
      <c r="A880" t="s">
        <v>1016</v>
      </c>
      <c r="B880" t="s">
        <v>220</v>
      </c>
      <c r="C880">
        <v>26</v>
      </c>
      <c r="D880">
        <v>0</v>
      </c>
      <c r="G880">
        <v>26</v>
      </c>
      <c r="H880">
        <v>0</v>
      </c>
      <c r="I880">
        <f t="shared" si="52"/>
        <v>1</v>
      </c>
      <c r="J880">
        <f t="shared" si="53"/>
        <v>0</v>
      </c>
      <c r="K880">
        <f t="shared" si="54"/>
        <v>0</v>
      </c>
      <c r="L880">
        <f t="shared" si="55"/>
        <v>0</v>
      </c>
    </row>
    <row r="881" spans="1:12" x14ac:dyDescent="0.25">
      <c r="A881" t="s">
        <v>1017</v>
      </c>
      <c r="B881" t="s">
        <v>220</v>
      </c>
      <c r="C881">
        <v>12</v>
      </c>
      <c r="D881">
        <v>0</v>
      </c>
      <c r="G881">
        <v>12</v>
      </c>
      <c r="H881">
        <v>0</v>
      </c>
      <c r="I881">
        <f t="shared" si="52"/>
        <v>1</v>
      </c>
      <c r="J881">
        <f t="shared" si="53"/>
        <v>0</v>
      </c>
      <c r="K881">
        <f t="shared" si="54"/>
        <v>0</v>
      </c>
      <c r="L881">
        <f t="shared" si="55"/>
        <v>0</v>
      </c>
    </row>
    <row r="882" spans="1:12" x14ac:dyDescent="0.25">
      <c r="A882" t="s">
        <v>1018</v>
      </c>
      <c r="B882" t="s">
        <v>220</v>
      </c>
      <c r="C882">
        <v>18.5</v>
      </c>
      <c r="D882">
        <v>32.5</v>
      </c>
      <c r="G882">
        <v>51</v>
      </c>
      <c r="H882">
        <v>0</v>
      </c>
      <c r="I882">
        <f t="shared" si="52"/>
        <v>1</v>
      </c>
      <c r="J882">
        <f t="shared" si="53"/>
        <v>0</v>
      </c>
      <c r="K882">
        <f t="shared" si="54"/>
        <v>0</v>
      </c>
      <c r="L882">
        <f t="shared" si="55"/>
        <v>1</v>
      </c>
    </row>
    <row r="883" spans="1:12" x14ac:dyDescent="0.25">
      <c r="A883" t="s">
        <v>1019</v>
      </c>
      <c r="B883" t="s">
        <v>220</v>
      </c>
      <c r="C883">
        <v>6</v>
      </c>
      <c r="D883">
        <v>12</v>
      </c>
      <c r="G883">
        <v>18</v>
      </c>
      <c r="H883">
        <v>0</v>
      </c>
      <c r="I883">
        <f t="shared" si="52"/>
        <v>1</v>
      </c>
      <c r="J883">
        <f t="shared" si="53"/>
        <v>0</v>
      </c>
      <c r="K883">
        <f t="shared" si="54"/>
        <v>0</v>
      </c>
      <c r="L883">
        <f t="shared" si="55"/>
        <v>1</v>
      </c>
    </row>
    <row r="884" spans="1:12" x14ac:dyDescent="0.25">
      <c r="A884" t="s">
        <v>1020</v>
      </c>
      <c r="B884" t="s">
        <v>220</v>
      </c>
      <c r="C884">
        <v>12</v>
      </c>
      <c r="D884">
        <v>0</v>
      </c>
      <c r="G884">
        <v>12</v>
      </c>
      <c r="H884">
        <v>0</v>
      </c>
      <c r="I884">
        <f t="shared" si="52"/>
        <v>1</v>
      </c>
      <c r="J884">
        <f t="shared" si="53"/>
        <v>0</v>
      </c>
      <c r="K884">
        <f t="shared" si="54"/>
        <v>0</v>
      </c>
      <c r="L884">
        <f t="shared" si="55"/>
        <v>0</v>
      </c>
    </row>
    <row r="885" spans="1:12" x14ac:dyDescent="0.25">
      <c r="A885" t="s">
        <v>1021</v>
      </c>
      <c r="B885" t="s">
        <v>220</v>
      </c>
      <c r="C885">
        <v>12</v>
      </c>
      <c r="D885">
        <v>0</v>
      </c>
      <c r="G885">
        <v>12</v>
      </c>
      <c r="H885">
        <v>0</v>
      </c>
      <c r="I885">
        <f t="shared" si="52"/>
        <v>1</v>
      </c>
      <c r="J885">
        <f t="shared" si="53"/>
        <v>0</v>
      </c>
      <c r="K885">
        <f t="shared" si="54"/>
        <v>0</v>
      </c>
      <c r="L885">
        <f t="shared" si="55"/>
        <v>0</v>
      </c>
    </row>
    <row r="886" spans="1:12" x14ac:dyDescent="0.25">
      <c r="A886" t="s">
        <v>1022</v>
      </c>
      <c r="B886" t="s">
        <v>220</v>
      </c>
      <c r="C886">
        <v>1.5</v>
      </c>
      <c r="D886">
        <v>1</v>
      </c>
      <c r="G886">
        <v>2.5</v>
      </c>
      <c r="H886">
        <v>0</v>
      </c>
      <c r="I886">
        <f t="shared" si="52"/>
        <v>1</v>
      </c>
      <c r="J886">
        <f t="shared" si="53"/>
        <v>0</v>
      </c>
      <c r="K886">
        <f t="shared" si="54"/>
        <v>0</v>
      </c>
      <c r="L886">
        <f t="shared" si="55"/>
        <v>1</v>
      </c>
    </row>
    <row r="887" spans="1:12" x14ac:dyDescent="0.25">
      <c r="A887" t="s">
        <v>1023</v>
      </c>
      <c r="B887" t="s">
        <v>220</v>
      </c>
      <c r="C887">
        <v>16</v>
      </c>
      <c r="D887">
        <v>0</v>
      </c>
      <c r="G887">
        <v>16</v>
      </c>
      <c r="H887">
        <v>0</v>
      </c>
      <c r="I887">
        <f t="shared" si="52"/>
        <v>1</v>
      </c>
      <c r="J887">
        <f t="shared" si="53"/>
        <v>0</v>
      </c>
      <c r="K887">
        <f t="shared" si="54"/>
        <v>0</v>
      </c>
      <c r="L887">
        <f t="shared" si="55"/>
        <v>0</v>
      </c>
    </row>
    <row r="888" spans="1:12" x14ac:dyDescent="0.25">
      <c r="A888" t="s">
        <v>1024</v>
      </c>
      <c r="B888" t="s">
        <v>220</v>
      </c>
      <c r="C888">
        <v>52</v>
      </c>
      <c r="D888">
        <v>0</v>
      </c>
      <c r="G888">
        <v>52</v>
      </c>
      <c r="H888">
        <v>0</v>
      </c>
      <c r="I888">
        <f t="shared" si="52"/>
        <v>1</v>
      </c>
      <c r="J888">
        <f t="shared" si="53"/>
        <v>0</v>
      </c>
      <c r="K888">
        <f t="shared" si="54"/>
        <v>0</v>
      </c>
      <c r="L888">
        <f t="shared" si="55"/>
        <v>0</v>
      </c>
    </row>
    <row r="889" spans="1:12" x14ac:dyDescent="0.25">
      <c r="A889" t="s">
        <v>1025</v>
      </c>
      <c r="B889" t="s">
        <v>220</v>
      </c>
      <c r="C889">
        <v>14</v>
      </c>
      <c r="D889">
        <v>0</v>
      </c>
      <c r="G889">
        <v>14</v>
      </c>
      <c r="H889">
        <v>0</v>
      </c>
      <c r="I889">
        <f t="shared" si="52"/>
        <v>1</v>
      </c>
      <c r="J889">
        <f t="shared" si="53"/>
        <v>0</v>
      </c>
      <c r="K889">
        <f t="shared" si="54"/>
        <v>0</v>
      </c>
      <c r="L889">
        <f t="shared" si="55"/>
        <v>0</v>
      </c>
    </row>
    <row r="890" spans="1:12" x14ac:dyDescent="0.25">
      <c r="A890" t="s">
        <v>1026</v>
      </c>
      <c r="B890" t="s">
        <v>220</v>
      </c>
      <c r="C890">
        <v>3</v>
      </c>
      <c r="D890">
        <v>0</v>
      </c>
      <c r="G890">
        <v>3</v>
      </c>
      <c r="H890">
        <v>0</v>
      </c>
      <c r="I890">
        <f t="shared" si="52"/>
        <v>1</v>
      </c>
      <c r="J890">
        <f t="shared" si="53"/>
        <v>0</v>
      </c>
      <c r="K890">
        <f t="shared" si="54"/>
        <v>0</v>
      </c>
      <c r="L890">
        <f t="shared" si="55"/>
        <v>0</v>
      </c>
    </row>
    <row r="891" spans="1:12" x14ac:dyDescent="0.25">
      <c r="A891" t="s">
        <v>1027</v>
      </c>
      <c r="B891" t="s">
        <v>220</v>
      </c>
      <c r="C891">
        <v>12</v>
      </c>
      <c r="D891">
        <v>0</v>
      </c>
      <c r="G891">
        <v>12</v>
      </c>
      <c r="H891">
        <v>0</v>
      </c>
      <c r="I891">
        <f t="shared" si="52"/>
        <v>1</v>
      </c>
      <c r="J891">
        <f t="shared" si="53"/>
        <v>0</v>
      </c>
      <c r="K891">
        <f t="shared" si="54"/>
        <v>0</v>
      </c>
      <c r="L891">
        <f t="shared" si="55"/>
        <v>0</v>
      </c>
    </row>
    <row r="892" spans="1:12" x14ac:dyDescent="0.25">
      <c r="A892" t="s">
        <v>1028</v>
      </c>
      <c r="B892" t="s">
        <v>220</v>
      </c>
      <c r="C892">
        <v>16</v>
      </c>
      <c r="D892">
        <v>4</v>
      </c>
      <c r="G892">
        <v>20</v>
      </c>
      <c r="H892">
        <v>0</v>
      </c>
      <c r="I892">
        <f t="shared" si="52"/>
        <v>1</v>
      </c>
      <c r="J892">
        <f t="shared" si="53"/>
        <v>0</v>
      </c>
      <c r="K892">
        <f t="shared" si="54"/>
        <v>0</v>
      </c>
      <c r="L892">
        <f t="shared" si="55"/>
        <v>1</v>
      </c>
    </row>
    <row r="893" spans="1:12" x14ac:dyDescent="0.25">
      <c r="A893" t="s">
        <v>1029</v>
      </c>
      <c r="B893" t="s">
        <v>220</v>
      </c>
      <c r="C893">
        <v>4</v>
      </c>
      <c r="D893">
        <v>12</v>
      </c>
      <c r="G893">
        <v>16</v>
      </c>
      <c r="H893">
        <v>0</v>
      </c>
      <c r="I893">
        <f t="shared" si="52"/>
        <v>1</v>
      </c>
      <c r="J893">
        <f t="shared" si="53"/>
        <v>0</v>
      </c>
      <c r="K893">
        <f t="shared" si="54"/>
        <v>0</v>
      </c>
      <c r="L893">
        <f t="shared" si="55"/>
        <v>1</v>
      </c>
    </row>
    <row r="894" spans="1:12" x14ac:dyDescent="0.25">
      <c r="A894" t="s">
        <v>1030</v>
      </c>
      <c r="B894" t="s">
        <v>220</v>
      </c>
      <c r="C894">
        <v>12</v>
      </c>
      <c r="D894">
        <v>12</v>
      </c>
      <c r="G894">
        <v>24</v>
      </c>
      <c r="H894">
        <v>0</v>
      </c>
      <c r="I894">
        <f t="shared" si="52"/>
        <v>1</v>
      </c>
      <c r="J894">
        <f t="shared" si="53"/>
        <v>0</v>
      </c>
      <c r="K894">
        <f t="shared" si="54"/>
        <v>0</v>
      </c>
      <c r="L894">
        <f t="shared" si="55"/>
        <v>1</v>
      </c>
    </row>
    <row r="895" spans="1:12" x14ac:dyDescent="0.25">
      <c r="A895" t="s">
        <v>1031</v>
      </c>
      <c r="B895" t="s">
        <v>220</v>
      </c>
      <c r="C895">
        <v>4</v>
      </c>
      <c r="D895">
        <v>12</v>
      </c>
      <c r="G895">
        <v>16</v>
      </c>
      <c r="H895">
        <v>0</v>
      </c>
      <c r="I895">
        <f t="shared" si="52"/>
        <v>1</v>
      </c>
      <c r="J895">
        <f t="shared" si="53"/>
        <v>0</v>
      </c>
      <c r="K895">
        <f t="shared" si="54"/>
        <v>0</v>
      </c>
      <c r="L895">
        <f t="shared" si="55"/>
        <v>1</v>
      </c>
    </row>
    <row r="896" spans="1:12" x14ac:dyDescent="0.25">
      <c r="A896" t="s">
        <v>1032</v>
      </c>
      <c r="B896" t="s">
        <v>220</v>
      </c>
      <c r="C896">
        <v>20</v>
      </c>
      <c r="D896">
        <v>0</v>
      </c>
      <c r="G896">
        <v>20</v>
      </c>
      <c r="H896">
        <v>0</v>
      </c>
      <c r="I896">
        <f t="shared" si="52"/>
        <v>1</v>
      </c>
      <c r="J896">
        <f t="shared" si="53"/>
        <v>0</v>
      </c>
      <c r="K896">
        <f t="shared" si="54"/>
        <v>0</v>
      </c>
      <c r="L896">
        <f t="shared" si="55"/>
        <v>0</v>
      </c>
    </row>
    <row r="897" spans="1:12" x14ac:dyDescent="0.25">
      <c r="A897" t="s">
        <v>1033</v>
      </c>
      <c r="B897" t="s">
        <v>220</v>
      </c>
      <c r="C897">
        <v>4</v>
      </c>
      <c r="D897">
        <v>0</v>
      </c>
      <c r="G897">
        <v>4</v>
      </c>
      <c r="H897">
        <v>0</v>
      </c>
      <c r="I897">
        <f t="shared" si="52"/>
        <v>1</v>
      </c>
      <c r="J897">
        <f t="shared" si="53"/>
        <v>0</v>
      </c>
      <c r="K897">
        <f t="shared" si="54"/>
        <v>0</v>
      </c>
      <c r="L897">
        <f t="shared" si="55"/>
        <v>0</v>
      </c>
    </row>
    <row r="898" spans="1:12" x14ac:dyDescent="0.25">
      <c r="A898" t="s">
        <v>1034</v>
      </c>
      <c r="B898" t="s">
        <v>220</v>
      </c>
      <c r="C898">
        <v>4</v>
      </c>
      <c r="D898">
        <v>8</v>
      </c>
      <c r="G898">
        <v>12</v>
      </c>
      <c r="H898">
        <v>0</v>
      </c>
      <c r="I898">
        <f t="shared" si="52"/>
        <v>1</v>
      </c>
      <c r="J898">
        <f t="shared" si="53"/>
        <v>0</v>
      </c>
      <c r="K898">
        <f t="shared" si="54"/>
        <v>0</v>
      </c>
      <c r="L898">
        <f t="shared" si="55"/>
        <v>1</v>
      </c>
    </row>
    <row r="899" spans="1:12" x14ac:dyDescent="0.25">
      <c r="A899" t="s">
        <v>1035</v>
      </c>
      <c r="B899" t="s">
        <v>220</v>
      </c>
      <c r="C899">
        <v>12</v>
      </c>
      <c r="D899">
        <v>12</v>
      </c>
      <c r="G899">
        <v>24</v>
      </c>
      <c r="H899">
        <v>0</v>
      </c>
      <c r="I899">
        <f t="shared" ref="I899:I962" si="56">IF(C899&gt;0, 1, 0)</f>
        <v>1</v>
      </c>
      <c r="J899">
        <f t="shared" ref="J899:J962" si="57">IF(E899&gt;0, 1,0)</f>
        <v>0</v>
      </c>
      <c r="K899">
        <f t="shared" ref="K899:K962" si="58">IF(F899&gt;0, 1, 0)</f>
        <v>0</v>
      </c>
      <c r="L899">
        <f t="shared" ref="L899:L962" si="59">IF(D899&gt;0, 1, 0)</f>
        <v>1</v>
      </c>
    </row>
    <row r="900" spans="1:12" x14ac:dyDescent="0.25">
      <c r="A900" t="s">
        <v>1036</v>
      </c>
      <c r="B900" t="s">
        <v>220</v>
      </c>
      <c r="C900">
        <v>12</v>
      </c>
      <c r="D900">
        <v>4</v>
      </c>
      <c r="G900">
        <v>16</v>
      </c>
      <c r="H900">
        <v>0</v>
      </c>
      <c r="I900">
        <f t="shared" si="56"/>
        <v>1</v>
      </c>
      <c r="J900">
        <f t="shared" si="57"/>
        <v>0</v>
      </c>
      <c r="K900">
        <f t="shared" si="58"/>
        <v>0</v>
      </c>
      <c r="L900">
        <f t="shared" si="59"/>
        <v>1</v>
      </c>
    </row>
    <row r="901" spans="1:12" x14ac:dyDescent="0.25">
      <c r="A901" t="s">
        <v>1037</v>
      </c>
      <c r="B901" t="s">
        <v>220</v>
      </c>
      <c r="C901">
        <v>16</v>
      </c>
      <c r="D901">
        <v>0</v>
      </c>
      <c r="G901">
        <v>16</v>
      </c>
      <c r="H901">
        <v>0</v>
      </c>
      <c r="I901">
        <f t="shared" si="56"/>
        <v>1</v>
      </c>
      <c r="J901">
        <f t="shared" si="57"/>
        <v>0</v>
      </c>
      <c r="K901">
        <f t="shared" si="58"/>
        <v>0</v>
      </c>
      <c r="L901">
        <f t="shared" si="59"/>
        <v>0</v>
      </c>
    </row>
    <row r="902" spans="1:12" x14ac:dyDescent="0.25">
      <c r="A902" t="s">
        <v>1038</v>
      </c>
      <c r="B902" t="s">
        <v>220</v>
      </c>
      <c r="C902">
        <v>6</v>
      </c>
      <c r="D902">
        <v>6</v>
      </c>
      <c r="G902">
        <v>12</v>
      </c>
      <c r="H902">
        <v>0</v>
      </c>
      <c r="I902">
        <f t="shared" si="56"/>
        <v>1</v>
      </c>
      <c r="J902">
        <f t="shared" si="57"/>
        <v>0</v>
      </c>
      <c r="K902">
        <f t="shared" si="58"/>
        <v>0</v>
      </c>
      <c r="L902">
        <f t="shared" si="59"/>
        <v>1</v>
      </c>
    </row>
    <row r="903" spans="1:12" x14ac:dyDescent="0.25">
      <c r="A903" t="s">
        <v>1039</v>
      </c>
      <c r="B903" t="s">
        <v>220</v>
      </c>
      <c r="C903">
        <v>12</v>
      </c>
      <c r="D903">
        <v>0</v>
      </c>
      <c r="G903">
        <v>12</v>
      </c>
      <c r="H903">
        <v>0</v>
      </c>
      <c r="I903">
        <f t="shared" si="56"/>
        <v>1</v>
      </c>
      <c r="J903">
        <f t="shared" si="57"/>
        <v>0</v>
      </c>
      <c r="K903">
        <f t="shared" si="58"/>
        <v>0</v>
      </c>
      <c r="L903">
        <f t="shared" si="59"/>
        <v>0</v>
      </c>
    </row>
    <row r="904" spans="1:12" x14ac:dyDescent="0.25">
      <c r="A904" t="s">
        <v>1040</v>
      </c>
      <c r="B904" t="s">
        <v>220</v>
      </c>
      <c r="C904">
        <v>2</v>
      </c>
      <c r="D904">
        <v>4</v>
      </c>
      <c r="G904">
        <v>6</v>
      </c>
      <c r="H904">
        <v>0</v>
      </c>
      <c r="I904">
        <f t="shared" si="56"/>
        <v>1</v>
      </c>
      <c r="J904">
        <f t="shared" si="57"/>
        <v>0</v>
      </c>
      <c r="K904">
        <f t="shared" si="58"/>
        <v>0</v>
      </c>
      <c r="L904">
        <f t="shared" si="59"/>
        <v>1</v>
      </c>
    </row>
    <row r="905" spans="1:12" x14ac:dyDescent="0.25">
      <c r="A905" t="s">
        <v>1041</v>
      </c>
      <c r="B905" t="s">
        <v>220</v>
      </c>
      <c r="C905">
        <v>9</v>
      </c>
      <c r="D905">
        <v>6</v>
      </c>
      <c r="G905">
        <v>15</v>
      </c>
      <c r="H905">
        <v>0</v>
      </c>
      <c r="I905">
        <f t="shared" si="56"/>
        <v>1</v>
      </c>
      <c r="J905">
        <f t="shared" si="57"/>
        <v>0</v>
      </c>
      <c r="K905">
        <f t="shared" si="58"/>
        <v>0</v>
      </c>
      <c r="L905">
        <f t="shared" si="59"/>
        <v>1</v>
      </c>
    </row>
    <row r="906" spans="1:12" x14ac:dyDescent="0.25">
      <c r="A906" t="s">
        <v>1042</v>
      </c>
      <c r="B906" t="s">
        <v>220</v>
      </c>
      <c r="C906">
        <v>10</v>
      </c>
      <c r="D906">
        <v>2</v>
      </c>
      <c r="G906">
        <v>12</v>
      </c>
      <c r="H906">
        <v>0</v>
      </c>
      <c r="I906">
        <f t="shared" si="56"/>
        <v>1</v>
      </c>
      <c r="J906">
        <f t="shared" si="57"/>
        <v>0</v>
      </c>
      <c r="K906">
        <f t="shared" si="58"/>
        <v>0</v>
      </c>
      <c r="L906">
        <f t="shared" si="59"/>
        <v>1</v>
      </c>
    </row>
    <row r="907" spans="1:12" x14ac:dyDescent="0.25">
      <c r="A907" t="s">
        <v>1043</v>
      </c>
      <c r="B907" t="s">
        <v>220</v>
      </c>
      <c r="C907">
        <v>8</v>
      </c>
      <c r="D907">
        <v>12</v>
      </c>
      <c r="G907">
        <v>20</v>
      </c>
      <c r="H907">
        <v>0</v>
      </c>
      <c r="I907">
        <f t="shared" si="56"/>
        <v>1</v>
      </c>
      <c r="J907">
        <f t="shared" si="57"/>
        <v>0</v>
      </c>
      <c r="K907">
        <f t="shared" si="58"/>
        <v>0</v>
      </c>
      <c r="L907">
        <f t="shared" si="59"/>
        <v>1</v>
      </c>
    </row>
    <row r="908" spans="1:12" x14ac:dyDescent="0.25">
      <c r="A908" t="s">
        <v>1044</v>
      </c>
      <c r="B908" t="s">
        <v>220</v>
      </c>
      <c r="C908">
        <v>12</v>
      </c>
      <c r="D908">
        <v>4</v>
      </c>
      <c r="G908">
        <v>16</v>
      </c>
      <c r="H908">
        <v>0</v>
      </c>
      <c r="I908">
        <f t="shared" si="56"/>
        <v>1</v>
      </c>
      <c r="J908">
        <f t="shared" si="57"/>
        <v>0</v>
      </c>
      <c r="K908">
        <f t="shared" si="58"/>
        <v>0</v>
      </c>
      <c r="L908">
        <f t="shared" si="59"/>
        <v>1</v>
      </c>
    </row>
    <row r="909" spans="1:12" x14ac:dyDescent="0.25">
      <c r="A909" t="s">
        <v>1045</v>
      </c>
      <c r="B909" t="s">
        <v>220</v>
      </c>
      <c r="C909">
        <v>10</v>
      </c>
      <c r="D909">
        <v>4</v>
      </c>
      <c r="G909">
        <v>14</v>
      </c>
      <c r="H909">
        <v>0</v>
      </c>
      <c r="I909">
        <f t="shared" si="56"/>
        <v>1</v>
      </c>
      <c r="J909">
        <f t="shared" si="57"/>
        <v>0</v>
      </c>
      <c r="K909">
        <f t="shared" si="58"/>
        <v>0</v>
      </c>
      <c r="L909">
        <f t="shared" si="59"/>
        <v>1</v>
      </c>
    </row>
    <row r="910" spans="1:12" x14ac:dyDescent="0.25">
      <c r="A910" t="s">
        <v>1046</v>
      </c>
      <c r="B910" t="s">
        <v>220</v>
      </c>
      <c r="C910">
        <v>18</v>
      </c>
      <c r="D910">
        <v>0</v>
      </c>
      <c r="G910">
        <v>18</v>
      </c>
      <c r="H910">
        <v>0</v>
      </c>
      <c r="I910">
        <f t="shared" si="56"/>
        <v>1</v>
      </c>
      <c r="J910">
        <f t="shared" si="57"/>
        <v>0</v>
      </c>
      <c r="K910">
        <f t="shared" si="58"/>
        <v>0</v>
      </c>
      <c r="L910">
        <f t="shared" si="59"/>
        <v>0</v>
      </c>
    </row>
    <row r="911" spans="1:12" x14ac:dyDescent="0.25">
      <c r="A911" t="s">
        <v>1047</v>
      </c>
      <c r="B911" t="s">
        <v>220</v>
      </c>
      <c r="C911">
        <v>16</v>
      </c>
      <c r="D911">
        <v>0</v>
      </c>
      <c r="G911">
        <v>16</v>
      </c>
      <c r="H911">
        <v>0</v>
      </c>
      <c r="I911">
        <f t="shared" si="56"/>
        <v>1</v>
      </c>
      <c r="J911">
        <f t="shared" si="57"/>
        <v>0</v>
      </c>
      <c r="K911">
        <f t="shared" si="58"/>
        <v>0</v>
      </c>
      <c r="L911">
        <f t="shared" si="59"/>
        <v>0</v>
      </c>
    </row>
    <row r="912" spans="1:12" x14ac:dyDescent="0.25">
      <c r="A912" t="s">
        <v>1048</v>
      </c>
      <c r="B912" t="s">
        <v>220</v>
      </c>
      <c r="C912">
        <v>12</v>
      </c>
      <c r="D912">
        <v>0</v>
      </c>
      <c r="G912">
        <v>12</v>
      </c>
      <c r="H912">
        <v>0</v>
      </c>
      <c r="I912">
        <f t="shared" si="56"/>
        <v>1</v>
      </c>
      <c r="J912">
        <f t="shared" si="57"/>
        <v>0</v>
      </c>
      <c r="K912">
        <f t="shared" si="58"/>
        <v>0</v>
      </c>
      <c r="L912">
        <f t="shared" si="59"/>
        <v>0</v>
      </c>
    </row>
    <row r="913" spans="1:12" x14ac:dyDescent="0.25">
      <c r="A913" t="s">
        <v>1049</v>
      </c>
      <c r="B913" t="s">
        <v>1050</v>
      </c>
      <c r="C913">
        <v>2</v>
      </c>
      <c r="D913">
        <v>10</v>
      </c>
      <c r="G913">
        <v>12</v>
      </c>
      <c r="H913">
        <v>0</v>
      </c>
      <c r="I913">
        <f t="shared" si="56"/>
        <v>1</v>
      </c>
      <c r="J913">
        <f t="shared" si="57"/>
        <v>0</v>
      </c>
      <c r="K913">
        <f t="shared" si="58"/>
        <v>0</v>
      </c>
      <c r="L913">
        <f t="shared" si="59"/>
        <v>1</v>
      </c>
    </row>
    <row r="914" spans="1:12" x14ac:dyDescent="0.25">
      <c r="A914" t="s">
        <v>1051</v>
      </c>
      <c r="B914" t="s">
        <v>1052</v>
      </c>
      <c r="C914">
        <v>6</v>
      </c>
      <c r="D914">
        <v>4</v>
      </c>
      <c r="G914">
        <v>10</v>
      </c>
      <c r="H914">
        <v>0</v>
      </c>
      <c r="I914">
        <f t="shared" si="56"/>
        <v>1</v>
      </c>
      <c r="J914">
        <f t="shared" si="57"/>
        <v>0</v>
      </c>
      <c r="K914">
        <f t="shared" si="58"/>
        <v>0</v>
      </c>
      <c r="L914">
        <f t="shared" si="59"/>
        <v>1</v>
      </c>
    </row>
    <row r="915" spans="1:12" x14ac:dyDescent="0.25">
      <c r="A915" t="s">
        <v>1053</v>
      </c>
      <c r="B915" t="s">
        <v>1052</v>
      </c>
      <c r="C915">
        <v>2</v>
      </c>
      <c r="D915">
        <v>10</v>
      </c>
      <c r="G915">
        <v>12</v>
      </c>
      <c r="H915">
        <v>0</v>
      </c>
      <c r="I915">
        <f t="shared" si="56"/>
        <v>1</v>
      </c>
      <c r="J915">
        <f t="shared" si="57"/>
        <v>0</v>
      </c>
      <c r="K915">
        <f t="shared" si="58"/>
        <v>0</v>
      </c>
      <c r="L915">
        <f t="shared" si="59"/>
        <v>1</v>
      </c>
    </row>
    <row r="916" spans="1:12" x14ac:dyDescent="0.25">
      <c r="A916" t="s">
        <v>1054</v>
      </c>
      <c r="B916" t="s">
        <v>1052</v>
      </c>
      <c r="C916">
        <v>4</v>
      </c>
      <c r="D916">
        <v>12.5</v>
      </c>
      <c r="G916">
        <v>16.5</v>
      </c>
      <c r="H916">
        <v>0</v>
      </c>
      <c r="I916">
        <f t="shared" si="56"/>
        <v>1</v>
      </c>
      <c r="J916">
        <f t="shared" si="57"/>
        <v>0</v>
      </c>
      <c r="K916">
        <f t="shared" si="58"/>
        <v>0</v>
      </c>
      <c r="L916">
        <f t="shared" si="59"/>
        <v>1</v>
      </c>
    </row>
    <row r="917" spans="1:12" x14ac:dyDescent="0.25">
      <c r="A917" t="s">
        <v>1055</v>
      </c>
      <c r="B917" t="s">
        <v>224</v>
      </c>
      <c r="C917">
        <v>4</v>
      </c>
      <c r="D917">
        <v>8</v>
      </c>
      <c r="G917">
        <v>12</v>
      </c>
      <c r="H917">
        <v>0</v>
      </c>
      <c r="I917">
        <f t="shared" si="56"/>
        <v>1</v>
      </c>
      <c r="J917">
        <f t="shared" si="57"/>
        <v>0</v>
      </c>
      <c r="K917">
        <f t="shared" si="58"/>
        <v>0</v>
      </c>
      <c r="L917">
        <f t="shared" si="59"/>
        <v>1</v>
      </c>
    </row>
    <row r="918" spans="1:12" x14ac:dyDescent="0.25">
      <c r="A918" t="s">
        <v>1056</v>
      </c>
      <c r="B918" t="s">
        <v>224</v>
      </c>
      <c r="C918">
        <v>16</v>
      </c>
      <c r="D918">
        <v>0</v>
      </c>
      <c r="G918">
        <v>16</v>
      </c>
      <c r="H918">
        <v>0</v>
      </c>
      <c r="I918">
        <f t="shared" si="56"/>
        <v>1</v>
      </c>
      <c r="J918">
        <f t="shared" si="57"/>
        <v>0</v>
      </c>
      <c r="K918">
        <f t="shared" si="58"/>
        <v>0</v>
      </c>
      <c r="L918">
        <f t="shared" si="59"/>
        <v>0</v>
      </c>
    </row>
    <row r="919" spans="1:12" x14ac:dyDescent="0.25">
      <c r="A919" t="s">
        <v>1057</v>
      </c>
      <c r="B919" t="s">
        <v>224</v>
      </c>
      <c r="C919">
        <v>8</v>
      </c>
      <c r="E919">
        <v>12</v>
      </c>
      <c r="G919">
        <v>8</v>
      </c>
      <c r="H919">
        <v>12</v>
      </c>
      <c r="I919">
        <f t="shared" si="56"/>
        <v>1</v>
      </c>
      <c r="J919">
        <f t="shared" si="57"/>
        <v>1</v>
      </c>
      <c r="K919">
        <f t="shared" si="58"/>
        <v>0</v>
      </c>
      <c r="L919">
        <f t="shared" si="59"/>
        <v>0</v>
      </c>
    </row>
    <row r="920" spans="1:12" x14ac:dyDescent="0.25">
      <c r="A920" t="s">
        <v>1058</v>
      </c>
      <c r="B920" t="s">
        <v>224</v>
      </c>
      <c r="C920">
        <v>6</v>
      </c>
      <c r="D920">
        <v>12</v>
      </c>
      <c r="G920">
        <v>18</v>
      </c>
      <c r="H920">
        <v>0</v>
      </c>
      <c r="I920">
        <f t="shared" si="56"/>
        <v>1</v>
      </c>
      <c r="J920">
        <f t="shared" si="57"/>
        <v>0</v>
      </c>
      <c r="K920">
        <f t="shared" si="58"/>
        <v>0</v>
      </c>
      <c r="L920">
        <f t="shared" si="59"/>
        <v>1</v>
      </c>
    </row>
    <row r="921" spans="1:12" x14ac:dyDescent="0.25">
      <c r="A921" t="s">
        <v>1059</v>
      </c>
      <c r="B921" t="s">
        <v>224</v>
      </c>
      <c r="C921">
        <v>12</v>
      </c>
      <c r="D921">
        <v>0</v>
      </c>
      <c r="G921">
        <v>12</v>
      </c>
      <c r="H921">
        <v>0</v>
      </c>
      <c r="I921">
        <f t="shared" si="56"/>
        <v>1</v>
      </c>
      <c r="J921">
        <f t="shared" si="57"/>
        <v>0</v>
      </c>
      <c r="K921">
        <f t="shared" si="58"/>
        <v>0</v>
      </c>
      <c r="L921">
        <f t="shared" si="59"/>
        <v>0</v>
      </c>
    </row>
    <row r="922" spans="1:12" x14ac:dyDescent="0.25">
      <c r="A922" t="s">
        <v>1060</v>
      </c>
      <c r="B922" t="s">
        <v>224</v>
      </c>
      <c r="C922">
        <v>12</v>
      </c>
      <c r="D922">
        <v>40</v>
      </c>
      <c r="G922">
        <v>52</v>
      </c>
      <c r="H922">
        <v>0</v>
      </c>
      <c r="I922">
        <f t="shared" si="56"/>
        <v>1</v>
      </c>
      <c r="J922">
        <f t="shared" si="57"/>
        <v>0</v>
      </c>
      <c r="K922">
        <f t="shared" si="58"/>
        <v>0</v>
      </c>
      <c r="L922">
        <f t="shared" si="59"/>
        <v>1</v>
      </c>
    </row>
    <row r="923" spans="1:12" x14ac:dyDescent="0.25">
      <c r="A923" t="s">
        <v>1061</v>
      </c>
      <c r="B923" t="s">
        <v>224</v>
      </c>
      <c r="C923">
        <v>12</v>
      </c>
      <c r="D923">
        <v>0</v>
      </c>
      <c r="G923">
        <v>12</v>
      </c>
      <c r="H923">
        <v>0</v>
      </c>
      <c r="I923">
        <f t="shared" si="56"/>
        <v>1</v>
      </c>
      <c r="J923">
        <f t="shared" si="57"/>
        <v>0</v>
      </c>
      <c r="K923">
        <f t="shared" si="58"/>
        <v>0</v>
      </c>
      <c r="L923">
        <f t="shared" si="59"/>
        <v>0</v>
      </c>
    </row>
    <row r="924" spans="1:12" x14ac:dyDescent="0.25">
      <c r="A924" t="s">
        <v>1062</v>
      </c>
      <c r="B924" t="s">
        <v>224</v>
      </c>
      <c r="C924">
        <v>8</v>
      </c>
      <c r="D924">
        <v>12</v>
      </c>
      <c r="G924">
        <v>20</v>
      </c>
      <c r="H924">
        <v>0</v>
      </c>
      <c r="I924">
        <f t="shared" si="56"/>
        <v>1</v>
      </c>
      <c r="J924">
        <f t="shared" si="57"/>
        <v>0</v>
      </c>
      <c r="K924">
        <f t="shared" si="58"/>
        <v>0</v>
      </c>
      <c r="L924">
        <f t="shared" si="59"/>
        <v>1</v>
      </c>
    </row>
    <row r="925" spans="1:12" x14ac:dyDescent="0.25">
      <c r="A925" t="s">
        <v>1063</v>
      </c>
      <c r="B925" t="s">
        <v>224</v>
      </c>
      <c r="C925">
        <v>2</v>
      </c>
      <c r="D925">
        <v>10</v>
      </c>
      <c r="G925">
        <v>12</v>
      </c>
      <c r="H925">
        <v>0</v>
      </c>
      <c r="I925">
        <f t="shared" si="56"/>
        <v>1</v>
      </c>
      <c r="J925">
        <f t="shared" si="57"/>
        <v>0</v>
      </c>
      <c r="K925">
        <f t="shared" si="58"/>
        <v>0</v>
      </c>
      <c r="L925">
        <f t="shared" si="59"/>
        <v>1</v>
      </c>
    </row>
    <row r="926" spans="1:12" x14ac:dyDescent="0.25">
      <c r="A926" t="s">
        <v>1064</v>
      </c>
      <c r="B926" t="s">
        <v>224</v>
      </c>
      <c r="C926">
        <v>13</v>
      </c>
      <c r="D926">
        <v>13</v>
      </c>
      <c r="G926">
        <v>26</v>
      </c>
      <c r="H926">
        <v>0</v>
      </c>
      <c r="I926">
        <f t="shared" si="56"/>
        <v>1</v>
      </c>
      <c r="J926">
        <f t="shared" si="57"/>
        <v>0</v>
      </c>
      <c r="K926">
        <f t="shared" si="58"/>
        <v>0</v>
      </c>
      <c r="L926">
        <f t="shared" si="59"/>
        <v>1</v>
      </c>
    </row>
    <row r="927" spans="1:12" x14ac:dyDescent="0.25">
      <c r="A927" t="s">
        <v>1065</v>
      </c>
      <c r="B927" t="s">
        <v>224</v>
      </c>
      <c r="C927">
        <v>16</v>
      </c>
      <c r="D927">
        <v>0</v>
      </c>
      <c r="G927">
        <v>16</v>
      </c>
      <c r="H927">
        <v>0</v>
      </c>
      <c r="I927">
        <f t="shared" si="56"/>
        <v>1</v>
      </c>
      <c r="J927">
        <f t="shared" si="57"/>
        <v>0</v>
      </c>
      <c r="K927">
        <f t="shared" si="58"/>
        <v>0</v>
      </c>
      <c r="L927">
        <f t="shared" si="59"/>
        <v>0</v>
      </c>
    </row>
    <row r="928" spans="1:12" x14ac:dyDescent="0.25">
      <c r="A928" t="s">
        <v>1066</v>
      </c>
      <c r="B928" t="s">
        <v>224</v>
      </c>
      <c r="C928">
        <v>12</v>
      </c>
      <c r="D928">
        <v>12</v>
      </c>
      <c r="G928">
        <v>24</v>
      </c>
      <c r="H928">
        <v>0</v>
      </c>
      <c r="I928">
        <f t="shared" si="56"/>
        <v>1</v>
      </c>
      <c r="J928">
        <f t="shared" si="57"/>
        <v>0</v>
      </c>
      <c r="K928">
        <f t="shared" si="58"/>
        <v>0</v>
      </c>
      <c r="L928">
        <f t="shared" si="59"/>
        <v>1</v>
      </c>
    </row>
    <row r="929" spans="1:12" x14ac:dyDescent="0.25">
      <c r="A929" t="s">
        <v>1067</v>
      </c>
      <c r="B929" t="s">
        <v>224</v>
      </c>
      <c r="C929">
        <v>6</v>
      </c>
      <c r="D929">
        <v>6</v>
      </c>
      <c r="G929">
        <v>12</v>
      </c>
      <c r="H929">
        <v>0</v>
      </c>
      <c r="I929">
        <f t="shared" si="56"/>
        <v>1</v>
      </c>
      <c r="J929">
        <f t="shared" si="57"/>
        <v>0</v>
      </c>
      <c r="K929">
        <f t="shared" si="58"/>
        <v>0</v>
      </c>
      <c r="L929">
        <f t="shared" si="59"/>
        <v>1</v>
      </c>
    </row>
    <row r="930" spans="1:12" x14ac:dyDescent="0.25">
      <c r="A930" t="s">
        <v>1068</v>
      </c>
      <c r="B930" t="s">
        <v>46</v>
      </c>
      <c r="C930">
        <v>0</v>
      </c>
      <c r="D930">
        <v>6</v>
      </c>
      <c r="G930">
        <v>6</v>
      </c>
      <c r="H930">
        <v>0</v>
      </c>
      <c r="I930">
        <f t="shared" si="56"/>
        <v>0</v>
      </c>
      <c r="J930">
        <f t="shared" si="57"/>
        <v>0</v>
      </c>
      <c r="K930">
        <f t="shared" si="58"/>
        <v>0</v>
      </c>
      <c r="L930">
        <f t="shared" si="59"/>
        <v>1</v>
      </c>
    </row>
    <row r="931" spans="1:12" x14ac:dyDescent="0.25">
      <c r="A931" t="s">
        <v>1069</v>
      </c>
      <c r="B931" t="s">
        <v>46</v>
      </c>
      <c r="C931">
        <v>6</v>
      </c>
      <c r="D931">
        <v>0</v>
      </c>
      <c r="G931">
        <v>6</v>
      </c>
      <c r="H931">
        <v>0</v>
      </c>
      <c r="I931">
        <f t="shared" si="56"/>
        <v>1</v>
      </c>
      <c r="J931">
        <f t="shared" si="57"/>
        <v>0</v>
      </c>
      <c r="K931">
        <f t="shared" si="58"/>
        <v>0</v>
      </c>
      <c r="L931">
        <f t="shared" si="59"/>
        <v>0</v>
      </c>
    </row>
    <row r="932" spans="1:12" x14ac:dyDescent="0.25">
      <c r="A932" t="s">
        <v>1070</v>
      </c>
      <c r="B932" t="s">
        <v>46</v>
      </c>
      <c r="C932">
        <v>6</v>
      </c>
      <c r="D932">
        <v>6</v>
      </c>
      <c r="G932">
        <v>12</v>
      </c>
      <c r="H932">
        <v>0</v>
      </c>
      <c r="I932">
        <f t="shared" si="56"/>
        <v>1</v>
      </c>
      <c r="J932">
        <f t="shared" si="57"/>
        <v>0</v>
      </c>
      <c r="K932">
        <f t="shared" si="58"/>
        <v>0</v>
      </c>
      <c r="L932">
        <f t="shared" si="59"/>
        <v>1</v>
      </c>
    </row>
    <row r="933" spans="1:12" x14ac:dyDescent="0.25">
      <c r="A933" t="s">
        <v>1071</v>
      </c>
      <c r="B933" t="s">
        <v>46</v>
      </c>
      <c r="C933">
        <v>12</v>
      </c>
      <c r="D933">
        <v>0</v>
      </c>
      <c r="G933">
        <v>12</v>
      </c>
      <c r="H933">
        <v>0</v>
      </c>
      <c r="I933">
        <f t="shared" si="56"/>
        <v>1</v>
      </c>
      <c r="J933">
        <f t="shared" si="57"/>
        <v>0</v>
      </c>
      <c r="K933">
        <f t="shared" si="58"/>
        <v>0</v>
      </c>
      <c r="L933">
        <f t="shared" si="59"/>
        <v>0</v>
      </c>
    </row>
    <row r="934" spans="1:12" x14ac:dyDescent="0.25">
      <c r="A934" t="s">
        <v>1072</v>
      </c>
      <c r="B934" t="s">
        <v>46</v>
      </c>
      <c r="C934">
        <v>6</v>
      </c>
      <c r="D934">
        <v>5</v>
      </c>
      <c r="G934">
        <v>11</v>
      </c>
      <c r="H934">
        <v>0</v>
      </c>
      <c r="I934">
        <f t="shared" si="56"/>
        <v>1</v>
      </c>
      <c r="J934">
        <f t="shared" si="57"/>
        <v>0</v>
      </c>
      <c r="K934">
        <f t="shared" si="58"/>
        <v>0</v>
      </c>
      <c r="L934">
        <f t="shared" si="59"/>
        <v>1</v>
      </c>
    </row>
    <row r="935" spans="1:12" x14ac:dyDescent="0.25">
      <c r="A935" t="s">
        <v>1073</v>
      </c>
      <c r="B935" t="s">
        <v>46</v>
      </c>
      <c r="C935">
        <v>12</v>
      </c>
      <c r="D935">
        <v>0</v>
      </c>
      <c r="G935">
        <v>12</v>
      </c>
      <c r="H935">
        <v>0</v>
      </c>
      <c r="I935">
        <f t="shared" si="56"/>
        <v>1</v>
      </c>
      <c r="J935">
        <f t="shared" si="57"/>
        <v>0</v>
      </c>
      <c r="K935">
        <f t="shared" si="58"/>
        <v>0</v>
      </c>
      <c r="L935">
        <f t="shared" si="59"/>
        <v>0</v>
      </c>
    </row>
    <row r="936" spans="1:12" x14ac:dyDescent="0.25">
      <c r="A936" t="s">
        <v>1074</v>
      </c>
      <c r="B936" t="s">
        <v>46</v>
      </c>
      <c r="C936">
        <v>3</v>
      </c>
      <c r="D936">
        <v>7.5</v>
      </c>
      <c r="G936">
        <v>10.5</v>
      </c>
      <c r="H936">
        <v>0</v>
      </c>
      <c r="I936">
        <f t="shared" si="56"/>
        <v>1</v>
      </c>
      <c r="J936">
        <f t="shared" si="57"/>
        <v>0</v>
      </c>
      <c r="K936">
        <f t="shared" si="58"/>
        <v>0</v>
      </c>
      <c r="L936">
        <f t="shared" si="59"/>
        <v>1</v>
      </c>
    </row>
    <row r="937" spans="1:12" x14ac:dyDescent="0.25">
      <c r="A937" t="s">
        <v>1075</v>
      </c>
      <c r="B937" t="s">
        <v>46</v>
      </c>
      <c r="C937">
        <v>6</v>
      </c>
      <c r="D937">
        <v>4</v>
      </c>
      <c r="G937">
        <v>10</v>
      </c>
      <c r="H937">
        <v>0</v>
      </c>
      <c r="I937">
        <f t="shared" si="56"/>
        <v>1</v>
      </c>
      <c r="J937">
        <f t="shared" si="57"/>
        <v>0</v>
      </c>
      <c r="K937">
        <f t="shared" si="58"/>
        <v>0</v>
      </c>
      <c r="L937">
        <f t="shared" si="59"/>
        <v>1</v>
      </c>
    </row>
    <row r="938" spans="1:12" x14ac:dyDescent="0.25">
      <c r="A938" t="s">
        <v>1076</v>
      </c>
      <c r="B938" t="s">
        <v>46</v>
      </c>
      <c r="C938">
        <v>6</v>
      </c>
      <c r="D938">
        <v>8</v>
      </c>
      <c r="G938">
        <v>14</v>
      </c>
      <c r="H938">
        <v>0</v>
      </c>
      <c r="I938">
        <f t="shared" si="56"/>
        <v>1</v>
      </c>
      <c r="J938">
        <f t="shared" si="57"/>
        <v>0</v>
      </c>
      <c r="K938">
        <f t="shared" si="58"/>
        <v>0</v>
      </c>
      <c r="L938">
        <f t="shared" si="59"/>
        <v>1</v>
      </c>
    </row>
    <row r="939" spans="1:12" x14ac:dyDescent="0.25">
      <c r="A939" t="s">
        <v>1077</v>
      </c>
      <c r="B939" t="s">
        <v>46</v>
      </c>
      <c r="C939">
        <v>6</v>
      </c>
      <c r="D939">
        <v>8</v>
      </c>
      <c r="G939">
        <v>14</v>
      </c>
      <c r="H939">
        <v>0</v>
      </c>
      <c r="I939">
        <f t="shared" si="56"/>
        <v>1</v>
      </c>
      <c r="J939">
        <f t="shared" si="57"/>
        <v>0</v>
      </c>
      <c r="K939">
        <f t="shared" si="58"/>
        <v>0</v>
      </c>
      <c r="L939">
        <f t="shared" si="59"/>
        <v>1</v>
      </c>
    </row>
    <row r="940" spans="1:12" x14ac:dyDescent="0.25">
      <c r="A940" t="s">
        <v>1078</v>
      </c>
      <c r="B940" t="s">
        <v>46</v>
      </c>
      <c r="C940">
        <v>6</v>
      </c>
      <c r="D940">
        <v>6</v>
      </c>
      <c r="G940">
        <v>12</v>
      </c>
      <c r="H940">
        <v>0</v>
      </c>
      <c r="I940">
        <f t="shared" si="56"/>
        <v>1</v>
      </c>
      <c r="J940">
        <f t="shared" si="57"/>
        <v>0</v>
      </c>
      <c r="K940">
        <f t="shared" si="58"/>
        <v>0</v>
      </c>
      <c r="L940">
        <f t="shared" si="59"/>
        <v>1</v>
      </c>
    </row>
    <row r="941" spans="1:12" x14ac:dyDescent="0.25">
      <c r="A941" t="s">
        <v>1079</v>
      </c>
      <c r="B941" t="s">
        <v>46</v>
      </c>
      <c r="C941">
        <v>12</v>
      </c>
      <c r="D941">
        <v>7</v>
      </c>
      <c r="G941">
        <v>19</v>
      </c>
      <c r="H941">
        <v>0</v>
      </c>
      <c r="I941">
        <f t="shared" si="56"/>
        <v>1</v>
      </c>
      <c r="J941">
        <f t="shared" si="57"/>
        <v>0</v>
      </c>
      <c r="K941">
        <f t="shared" si="58"/>
        <v>0</v>
      </c>
      <c r="L941">
        <f t="shared" si="59"/>
        <v>1</v>
      </c>
    </row>
    <row r="942" spans="1:12" x14ac:dyDescent="0.25">
      <c r="A942" t="s">
        <v>1080</v>
      </c>
      <c r="B942" t="s">
        <v>46</v>
      </c>
      <c r="C942">
        <v>16</v>
      </c>
      <c r="D942">
        <v>0</v>
      </c>
      <c r="G942">
        <v>16</v>
      </c>
      <c r="H942">
        <v>0</v>
      </c>
      <c r="I942">
        <f t="shared" si="56"/>
        <v>1</v>
      </c>
      <c r="J942">
        <f t="shared" si="57"/>
        <v>0</v>
      </c>
      <c r="K942">
        <f t="shared" si="58"/>
        <v>0</v>
      </c>
      <c r="L942">
        <f t="shared" si="59"/>
        <v>0</v>
      </c>
    </row>
    <row r="943" spans="1:12" x14ac:dyDescent="0.25">
      <c r="A943" t="s">
        <v>1081</v>
      </c>
      <c r="B943" t="s">
        <v>46</v>
      </c>
      <c r="C943">
        <v>12</v>
      </c>
      <c r="D943">
        <v>0</v>
      </c>
      <c r="G943">
        <v>12</v>
      </c>
      <c r="H943">
        <v>0</v>
      </c>
      <c r="I943">
        <f t="shared" si="56"/>
        <v>1</v>
      </c>
      <c r="J943">
        <f t="shared" si="57"/>
        <v>0</v>
      </c>
      <c r="K943">
        <f t="shared" si="58"/>
        <v>0</v>
      </c>
      <c r="L943">
        <f t="shared" si="59"/>
        <v>0</v>
      </c>
    </row>
    <row r="944" spans="1:12" x14ac:dyDescent="0.25">
      <c r="A944" t="s">
        <v>1082</v>
      </c>
      <c r="B944" t="s">
        <v>46</v>
      </c>
      <c r="C944">
        <v>12</v>
      </c>
      <c r="D944">
        <v>5</v>
      </c>
      <c r="G944">
        <v>17</v>
      </c>
      <c r="H944">
        <v>0</v>
      </c>
      <c r="I944">
        <f t="shared" si="56"/>
        <v>1</v>
      </c>
      <c r="J944">
        <f t="shared" si="57"/>
        <v>0</v>
      </c>
      <c r="K944">
        <f t="shared" si="58"/>
        <v>0</v>
      </c>
      <c r="L944">
        <f t="shared" si="59"/>
        <v>1</v>
      </c>
    </row>
    <row r="945" spans="1:12" x14ac:dyDescent="0.25">
      <c r="A945" t="s">
        <v>1083</v>
      </c>
      <c r="B945" t="s">
        <v>46</v>
      </c>
      <c r="C945">
        <v>4</v>
      </c>
      <c r="D945">
        <v>4</v>
      </c>
      <c r="G945">
        <v>8</v>
      </c>
      <c r="H945">
        <v>0</v>
      </c>
      <c r="I945">
        <f t="shared" si="56"/>
        <v>1</v>
      </c>
      <c r="J945">
        <f t="shared" si="57"/>
        <v>0</v>
      </c>
      <c r="K945">
        <f t="shared" si="58"/>
        <v>0</v>
      </c>
      <c r="L945">
        <f t="shared" si="59"/>
        <v>1</v>
      </c>
    </row>
    <row r="946" spans="1:12" x14ac:dyDescent="0.25">
      <c r="A946" t="s">
        <v>1084</v>
      </c>
      <c r="B946" t="s">
        <v>46</v>
      </c>
      <c r="C946">
        <v>6</v>
      </c>
      <c r="D946">
        <v>6</v>
      </c>
      <c r="G946">
        <v>12</v>
      </c>
      <c r="H946">
        <v>0</v>
      </c>
      <c r="I946">
        <f t="shared" si="56"/>
        <v>1</v>
      </c>
      <c r="J946">
        <f t="shared" si="57"/>
        <v>0</v>
      </c>
      <c r="K946">
        <f t="shared" si="58"/>
        <v>0</v>
      </c>
      <c r="L946">
        <f t="shared" si="59"/>
        <v>1</v>
      </c>
    </row>
    <row r="947" spans="1:12" x14ac:dyDescent="0.25">
      <c r="A947" t="s">
        <v>1085</v>
      </c>
      <c r="B947" t="s">
        <v>231</v>
      </c>
      <c r="C947">
        <v>52</v>
      </c>
      <c r="D947">
        <v>0</v>
      </c>
      <c r="G947">
        <v>52</v>
      </c>
      <c r="H947">
        <v>0</v>
      </c>
      <c r="I947">
        <f t="shared" si="56"/>
        <v>1</v>
      </c>
      <c r="J947">
        <f t="shared" si="57"/>
        <v>0</v>
      </c>
      <c r="K947">
        <f t="shared" si="58"/>
        <v>0</v>
      </c>
      <c r="L947">
        <f t="shared" si="59"/>
        <v>0</v>
      </c>
    </row>
    <row r="948" spans="1:12" x14ac:dyDescent="0.25">
      <c r="A948" t="s">
        <v>1086</v>
      </c>
      <c r="B948" t="s">
        <v>231</v>
      </c>
      <c r="C948">
        <v>12</v>
      </c>
      <c r="D948">
        <v>0</v>
      </c>
      <c r="G948">
        <v>12</v>
      </c>
      <c r="H948">
        <v>0</v>
      </c>
      <c r="I948">
        <f t="shared" si="56"/>
        <v>1</v>
      </c>
      <c r="J948">
        <f t="shared" si="57"/>
        <v>0</v>
      </c>
      <c r="K948">
        <f t="shared" si="58"/>
        <v>0</v>
      </c>
      <c r="L948">
        <f t="shared" si="59"/>
        <v>0</v>
      </c>
    </row>
    <row r="949" spans="1:12" x14ac:dyDescent="0.25">
      <c r="A949" t="s">
        <v>1087</v>
      </c>
      <c r="B949" t="s">
        <v>231</v>
      </c>
      <c r="C949">
        <v>7</v>
      </c>
      <c r="D949">
        <v>7</v>
      </c>
      <c r="G949">
        <v>14</v>
      </c>
      <c r="H949">
        <v>0</v>
      </c>
      <c r="I949">
        <f t="shared" si="56"/>
        <v>1</v>
      </c>
      <c r="J949">
        <f t="shared" si="57"/>
        <v>0</v>
      </c>
      <c r="K949">
        <f t="shared" si="58"/>
        <v>0</v>
      </c>
      <c r="L949">
        <f t="shared" si="59"/>
        <v>1</v>
      </c>
    </row>
    <row r="950" spans="1:12" x14ac:dyDescent="0.25">
      <c r="A950" t="s">
        <v>1088</v>
      </c>
      <c r="B950" t="s">
        <v>231</v>
      </c>
      <c r="C950">
        <v>5</v>
      </c>
      <c r="D950">
        <v>0</v>
      </c>
      <c r="G950">
        <v>5</v>
      </c>
      <c r="H950">
        <v>0</v>
      </c>
      <c r="I950">
        <f t="shared" si="56"/>
        <v>1</v>
      </c>
      <c r="J950">
        <f t="shared" si="57"/>
        <v>0</v>
      </c>
      <c r="K950">
        <f t="shared" si="58"/>
        <v>0</v>
      </c>
      <c r="L950">
        <f t="shared" si="59"/>
        <v>0</v>
      </c>
    </row>
    <row r="951" spans="1:12" x14ac:dyDescent="0.25">
      <c r="A951" t="s">
        <v>1089</v>
      </c>
      <c r="B951" t="s">
        <v>231</v>
      </c>
      <c r="C951">
        <v>13</v>
      </c>
      <c r="D951">
        <v>15</v>
      </c>
      <c r="G951">
        <v>28</v>
      </c>
      <c r="H951">
        <v>0</v>
      </c>
      <c r="I951">
        <f t="shared" si="56"/>
        <v>1</v>
      </c>
      <c r="J951">
        <f t="shared" si="57"/>
        <v>0</v>
      </c>
      <c r="K951">
        <f t="shared" si="58"/>
        <v>0</v>
      </c>
      <c r="L951">
        <f t="shared" si="59"/>
        <v>1</v>
      </c>
    </row>
    <row r="952" spans="1:12" x14ac:dyDescent="0.25">
      <c r="A952" t="s">
        <v>1090</v>
      </c>
      <c r="B952" t="s">
        <v>231</v>
      </c>
      <c r="C952">
        <v>12</v>
      </c>
      <c r="D952">
        <v>12</v>
      </c>
      <c r="G952">
        <v>24</v>
      </c>
      <c r="H952">
        <v>0</v>
      </c>
      <c r="I952">
        <f t="shared" si="56"/>
        <v>1</v>
      </c>
      <c r="J952">
        <f t="shared" si="57"/>
        <v>0</v>
      </c>
      <c r="K952">
        <f t="shared" si="58"/>
        <v>0</v>
      </c>
      <c r="L952">
        <f t="shared" si="59"/>
        <v>1</v>
      </c>
    </row>
    <row r="953" spans="1:12" x14ac:dyDescent="0.25">
      <c r="A953" t="s">
        <v>1091</v>
      </c>
      <c r="B953" t="s">
        <v>231</v>
      </c>
      <c r="C953">
        <v>10</v>
      </c>
      <c r="D953">
        <v>16</v>
      </c>
      <c r="G953">
        <v>26</v>
      </c>
      <c r="H953">
        <v>0</v>
      </c>
      <c r="I953">
        <f t="shared" si="56"/>
        <v>1</v>
      </c>
      <c r="J953">
        <f t="shared" si="57"/>
        <v>0</v>
      </c>
      <c r="K953">
        <f t="shared" si="58"/>
        <v>0</v>
      </c>
      <c r="L953">
        <f t="shared" si="59"/>
        <v>1</v>
      </c>
    </row>
    <row r="954" spans="1:12" x14ac:dyDescent="0.25">
      <c r="A954" t="s">
        <v>1092</v>
      </c>
      <c r="B954" t="s">
        <v>231</v>
      </c>
      <c r="C954">
        <v>6</v>
      </c>
      <c r="D954">
        <v>23</v>
      </c>
      <c r="G954">
        <v>29</v>
      </c>
      <c r="H954">
        <v>0</v>
      </c>
      <c r="I954">
        <f t="shared" si="56"/>
        <v>1</v>
      </c>
      <c r="J954">
        <f t="shared" si="57"/>
        <v>0</v>
      </c>
      <c r="K954">
        <f t="shared" si="58"/>
        <v>0</v>
      </c>
      <c r="L954">
        <f t="shared" si="59"/>
        <v>1</v>
      </c>
    </row>
    <row r="955" spans="1:12" x14ac:dyDescent="0.25">
      <c r="A955" t="s">
        <v>1093</v>
      </c>
      <c r="B955" t="s">
        <v>233</v>
      </c>
      <c r="C955">
        <v>6</v>
      </c>
      <c r="D955">
        <v>0</v>
      </c>
      <c r="G955">
        <v>6</v>
      </c>
      <c r="H955">
        <v>0</v>
      </c>
      <c r="I955">
        <f t="shared" si="56"/>
        <v>1</v>
      </c>
      <c r="J955">
        <f t="shared" si="57"/>
        <v>0</v>
      </c>
      <c r="K955">
        <f t="shared" si="58"/>
        <v>0</v>
      </c>
      <c r="L955">
        <f t="shared" si="59"/>
        <v>0</v>
      </c>
    </row>
    <row r="956" spans="1:12" x14ac:dyDescent="0.25">
      <c r="A956" t="s">
        <v>1094</v>
      </c>
      <c r="B956" t="s">
        <v>233</v>
      </c>
      <c r="C956">
        <v>12</v>
      </c>
      <c r="D956">
        <v>2</v>
      </c>
      <c r="G956">
        <v>14</v>
      </c>
      <c r="H956">
        <v>0</v>
      </c>
      <c r="I956">
        <f t="shared" si="56"/>
        <v>1</v>
      </c>
      <c r="J956">
        <f t="shared" si="57"/>
        <v>0</v>
      </c>
      <c r="K956">
        <f t="shared" si="58"/>
        <v>0</v>
      </c>
      <c r="L956">
        <f t="shared" si="59"/>
        <v>1</v>
      </c>
    </row>
    <row r="957" spans="1:12" x14ac:dyDescent="0.25">
      <c r="A957" t="s">
        <v>1095</v>
      </c>
      <c r="B957" t="s">
        <v>233</v>
      </c>
      <c r="C957">
        <v>4</v>
      </c>
      <c r="D957">
        <v>2</v>
      </c>
      <c r="G957">
        <v>6</v>
      </c>
      <c r="H957">
        <v>0</v>
      </c>
      <c r="I957">
        <f t="shared" si="56"/>
        <v>1</v>
      </c>
      <c r="J957">
        <f t="shared" si="57"/>
        <v>0</v>
      </c>
      <c r="K957">
        <f t="shared" si="58"/>
        <v>0</v>
      </c>
      <c r="L957">
        <f t="shared" si="59"/>
        <v>1</v>
      </c>
    </row>
    <row r="958" spans="1:12" x14ac:dyDescent="0.25">
      <c r="A958" t="s">
        <v>1096</v>
      </c>
      <c r="B958" t="s">
        <v>233</v>
      </c>
      <c r="C958">
        <v>12</v>
      </c>
      <c r="D958">
        <v>16</v>
      </c>
      <c r="G958">
        <v>28</v>
      </c>
      <c r="H958">
        <v>0</v>
      </c>
      <c r="I958">
        <f t="shared" si="56"/>
        <v>1</v>
      </c>
      <c r="J958">
        <f t="shared" si="57"/>
        <v>0</v>
      </c>
      <c r="K958">
        <f t="shared" si="58"/>
        <v>0</v>
      </c>
      <c r="L958">
        <f t="shared" si="59"/>
        <v>1</v>
      </c>
    </row>
    <row r="959" spans="1:12" x14ac:dyDescent="0.25">
      <c r="A959" t="s">
        <v>1097</v>
      </c>
      <c r="B959" t="s">
        <v>233</v>
      </c>
      <c r="C959">
        <v>4</v>
      </c>
      <c r="D959">
        <v>2</v>
      </c>
      <c r="G959">
        <v>6</v>
      </c>
      <c r="H959">
        <v>0</v>
      </c>
      <c r="I959">
        <f t="shared" si="56"/>
        <v>1</v>
      </c>
      <c r="J959">
        <f t="shared" si="57"/>
        <v>0</v>
      </c>
      <c r="K959">
        <f t="shared" si="58"/>
        <v>0</v>
      </c>
      <c r="L959">
        <f t="shared" si="59"/>
        <v>1</v>
      </c>
    </row>
    <row r="960" spans="1:12" x14ac:dyDescent="0.25">
      <c r="A960" t="s">
        <v>1098</v>
      </c>
      <c r="B960" t="s">
        <v>233</v>
      </c>
      <c r="C960">
        <v>10</v>
      </c>
      <c r="D960">
        <v>0</v>
      </c>
      <c r="G960">
        <v>10</v>
      </c>
      <c r="H960">
        <v>0</v>
      </c>
      <c r="I960">
        <f t="shared" si="56"/>
        <v>1</v>
      </c>
      <c r="J960">
        <f t="shared" si="57"/>
        <v>0</v>
      </c>
      <c r="K960">
        <f t="shared" si="58"/>
        <v>0</v>
      </c>
      <c r="L960">
        <f t="shared" si="59"/>
        <v>0</v>
      </c>
    </row>
    <row r="961" spans="1:12" x14ac:dyDescent="0.25">
      <c r="A961" t="s">
        <v>1099</v>
      </c>
      <c r="B961" t="s">
        <v>233</v>
      </c>
      <c r="C961">
        <v>2</v>
      </c>
      <c r="D961">
        <v>12</v>
      </c>
      <c r="G961">
        <v>14</v>
      </c>
      <c r="H961">
        <v>0</v>
      </c>
      <c r="I961">
        <f t="shared" si="56"/>
        <v>1</v>
      </c>
      <c r="J961">
        <f t="shared" si="57"/>
        <v>0</v>
      </c>
      <c r="K961">
        <f t="shared" si="58"/>
        <v>0</v>
      </c>
      <c r="L961">
        <f t="shared" si="59"/>
        <v>1</v>
      </c>
    </row>
    <row r="962" spans="1:12" x14ac:dyDescent="0.25">
      <c r="A962" t="s">
        <v>1100</v>
      </c>
      <c r="B962" t="s">
        <v>233</v>
      </c>
      <c r="C962">
        <v>52</v>
      </c>
      <c r="D962">
        <v>0</v>
      </c>
      <c r="G962">
        <v>52</v>
      </c>
      <c r="H962">
        <v>0</v>
      </c>
      <c r="I962">
        <f t="shared" si="56"/>
        <v>1</v>
      </c>
      <c r="J962">
        <f t="shared" si="57"/>
        <v>0</v>
      </c>
      <c r="K962">
        <f t="shared" si="58"/>
        <v>0</v>
      </c>
      <c r="L962">
        <f t="shared" si="59"/>
        <v>0</v>
      </c>
    </row>
    <row r="963" spans="1:12" x14ac:dyDescent="0.25">
      <c r="A963" t="s">
        <v>1101</v>
      </c>
      <c r="B963" t="s">
        <v>233</v>
      </c>
      <c r="C963">
        <v>16</v>
      </c>
      <c r="D963">
        <v>0</v>
      </c>
      <c r="G963">
        <v>16</v>
      </c>
      <c r="H963">
        <v>0</v>
      </c>
      <c r="I963">
        <f t="shared" ref="I963:I1026" si="60">IF(C963&gt;0, 1, 0)</f>
        <v>1</v>
      </c>
      <c r="J963">
        <f t="shared" ref="J963:J1026" si="61">IF(E963&gt;0, 1,0)</f>
        <v>0</v>
      </c>
      <c r="K963">
        <f t="shared" ref="K963:K1026" si="62">IF(F963&gt;0, 1, 0)</f>
        <v>0</v>
      </c>
      <c r="L963">
        <f t="shared" ref="L963:L1026" si="63">IF(D963&gt;0, 1, 0)</f>
        <v>0</v>
      </c>
    </row>
    <row r="964" spans="1:12" x14ac:dyDescent="0.25">
      <c r="A964" t="s">
        <v>1102</v>
      </c>
      <c r="B964" t="s">
        <v>233</v>
      </c>
      <c r="C964">
        <v>7.5</v>
      </c>
      <c r="D964">
        <v>16</v>
      </c>
      <c r="G964">
        <v>23.5</v>
      </c>
      <c r="H964">
        <v>0</v>
      </c>
      <c r="I964">
        <f t="shared" si="60"/>
        <v>1</v>
      </c>
      <c r="J964">
        <f t="shared" si="61"/>
        <v>0</v>
      </c>
      <c r="K964">
        <f t="shared" si="62"/>
        <v>0</v>
      </c>
      <c r="L964">
        <f t="shared" si="63"/>
        <v>1</v>
      </c>
    </row>
    <row r="965" spans="1:12" x14ac:dyDescent="0.25">
      <c r="A965" t="s">
        <v>1103</v>
      </c>
      <c r="B965" t="s">
        <v>233</v>
      </c>
      <c r="C965">
        <v>2</v>
      </c>
      <c r="D965">
        <v>12</v>
      </c>
      <c r="G965">
        <v>14</v>
      </c>
      <c r="H965">
        <v>0</v>
      </c>
      <c r="I965">
        <f t="shared" si="60"/>
        <v>1</v>
      </c>
      <c r="J965">
        <f t="shared" si="61"/>
        <v>0</v>
      </c>
      <c r="K965">
        <f t="shared" si="62"/>
        <v>0</v>
      </c>
      <c r="L965">
        <f t="shared" si="63"/>
        <v>1</v>
      </c>
    </row>
    <row r="966" spans="1:12" x14ac:dyDescent="0.25">
      <c r="A966" t="s">
        <v>1104</v>
      </c>
      <c r="B966" t="s">
        <v>233</v>
      </c>
      <c r="C966">
        <v>4.5</v>
      </c>
      <c r="D966">
        <v>6</v>
      </c>
      <c r="G966">
        <v>10.5</v>
      </c>
      <c r="H966">
        <v>0</v>
      </c>
      <c r="I966">
        <f t="shared" si="60"/>
        <v>1</v>
      </c>
      <c r="J966">
        <f t="shared" si="61"/>
        <v>0</v>
      </c>
      <c r="K966">
        <f t="shared" si="62"/>
        <v>0</v>
      </c>
      <c r="L966">
        <f t="shared" si="63"/>
        <v>1</v>
      </c>
    </row>
    <row r="967" spans="1:12" x14ac:dyDescent="0.25">
      <c r="A967" t="s">
        <v>1105</v>
      </c>
      <c r="B967" t="s">
        <v>233</v>
      </c>
      <c r="C967">
        <v>2</v>
      </c>
      <c r="D967">
        <v>8</v>
      </c>
      <c r="G967">
        <v>10</v>
      </c>
      <c r="H967">
        <v>0</v>
      </c>
      <c r="I967">
        <f t="shared" si="60"/>
        <v>1</v>
      </c>
      <c r="J967">
        <f t="shared" si="61"/>
        <v>0</v>
      </c>
      <c r="K967">
        <f t="shared" si="62"/>
        <v>0</v>
      </c>
      <c r="L967">
        <f t="shared" si="63"/>
        <v>1</v>
      </c>
    </row>
    <row r="968" spans="1:12" x14ac:dyDescent="0.25">
      <c r="A968" t="s">
        <v>1106</v>
      </c>
      <c r="B968" t="s">
        <v>1107</v>
      </c>
      <c r="C968">
        <v>8</v>
      </c>
      <c r="D968">
        <v>12</v>
      </c>
      <c r="G968">
        <v>20</v>
      </c>
      <c r="H968">
        <v>0</v>
      </c>
      <c r="I968">
        <f t="shared" si="60"/>
        <v>1</v>
      </c>
      <c r="J968">
        <f t="shared" si="61"/>
        <v>0</v>
      </c>
      <c r="K968">
        <f t="shared" si="62"/>
        <v>0</v>
      </c>
      <c r="L968">
        <f t="shared" si="63"/>
        <v>1</v>
      </c>
    </row>
    <row r="969" spans="1:12" x14ac:dyDescent="0.25">
      <c r="A969" t="s">
        <v>1108</v>
      </c>
      <c r="B969" t="s">
        <v>237</v>
      </c>
      <c r="C969">
        <v>4</v>
      </c>
      <c r="D969">
        <v>4</v>
      </c>
      <c r="G969">
        <v>8</v>
      </c>
      <c r="H969">
        <v>0</v>
      </c>
      <c r="I969">
        <f t="shared" si="60"/>
        <v>1</v>
      </c>
      <c r="J969">
        <f t="shared" si="61"/>
        <v>0</v>
      </c>
      <c r="K969">
        <f t="shared" si="62"/>
        <v>0</v>
      </c>
      <c r="L969">
        <f t="shared" si="63"/>
        <v>1</v>
      </c>
    </row>
    <row r="970" spans="1:12" x14ac:dyDescent="0.25">
      <c r="A970" t="s">
        <v>1109</v>
      </c>
      <c r="B970" t="s">
        <v>237</v>
      </c>
      <c r="C970">
        <v>16</v>
      </c>
      <c r="D970">
        <v>26</v>
      </c>
      <c r="G970">
        <v>42</v>
      </c>
      <c r="H970">
        <v>0</v>
      </c>
      <c r="I970">
        <f t="shared" si="60"/>
        <v>1</v>
      </c>
      <c r="J970">
        <f t="shared" si="61"/>
        <v>0</v>
      </c>
      <c r="K970">
        <f t="shared" si="62"/>
        <v>0</v>
      </c>
      <c r="L970">
        <f t="shared" si="63"/>
        <v>1</v>
      </c>
    </row>
    <row r="971" spans="1:12" x14ac:dyDescent="0.25">
      <c r="A971" t="s">
        <v>1110</v>
      </c>
      <c r="B971" t="s">
        <v>237</v>
      </c>
      <c r="C971">
        <v>24</v>
      </c>
      <c r="D971">
        <v>12</v>
      </c>
      <c r="G971">
        <v>36</v>
      </c>
      <c r="H971">
        <v>0</v>
      </c>
      <c r="I971">
        <f t="shared" si="60"/>
        <v>1</v>
      </c>
      <c r="J971">
        <f t="shared" si="61"/>
        <v>0</v>
      </c>
      <c r="K971">
        <f t="shared" si="62"/>
        <v>0</v>
      </c>
      <c r="L971">
        <f t="shared" si="63"/>
        <v>1</v>
      </c>
    </row>
    <row r="972" spans="1:12" x14ac:dyDescent="0.25">
      <c r="A972" t="s">
        <v>1111</v>
      </c>
      <c r="B972" t="s">
        <v>237</v>
      </c>
      <c r="C972">
        <v>6</v>
      </c>
      <c r="D972">
        <v>10</v>
      </c>
      <c r="G972">
        <v>16</v>
      </c>
      <c r="H972">
        <v>0</v>
      </c>
      <c r="I972">
        <f t="shared" si="60"/>
        <v>1</v>
      </c>
      <c r="J972">
        <f t="shared" si="61"/>
        <v>0</v>
      </c>
      <c r="K972">
        <f t="shared" si="62"/>
        <v>0</v>
      </c>
      <c r="L972">
        <f t="shared" si="63"/>
        <v>1</v>
      </c>
    </row>
    <row r="973" spans="1:12" x14ac:dyDescent="0.25">
      <c r="A973" t="s">
        <v>1112</v>
      </c>
      <c r="B973" t="s">
        <v>237</v>
      </c>
      <c r="C973">
        <v>16</v>
      </c>
      <c r="D973">
        <v>0</v>
      </c>
      <c r="G973">
        <v>16</v>
      </c>
      <c r="H973">
        <v>0</v>
      </c>
      <c r="I973">
        <f t="shared" si="60"/>
        <v>1</v>
      </c>
      <c r="J973">
        <f t="shared" si="61"/>
        <v>0</v>
      </c>
      <c r="K973">
        <f t="shared" si="62"/>
        <v>0</v>
      </c>
      <c r="L973">
        <f t="shared" si="63"/>
        <v>0</v>
      </c>
    </row>
    <row r="974" spans="1:12" x14ac:dyDescent="0.25">
      <c r="A974" t="s">
        <v>1113</v>
      </c>
      <c r="B974" t="s">
        <v>237</v>
      </c>
      <c r="C974">
        <v>4</v>
      </c>
      <c r="D974">
        <v>0</v>
      </c>
      <c r="G974">
        <v>4</v>
      </c>
      <c r="H974">
        <v>0</v>
      </c>
      <c r="I974">
        <f t="shared" si="60"/>
        <v>1</v>
      </c>
      <c r="J974">
        <f t="shared" si="61"/>
        <v>0</v>
      </c>
      <c r="K974">
        <f t="shared" si="62"/>
        <v>0</v>
      </c>
      <c r="L974">
        <f t="shared" si="63"/>
        <v>0</v>
      </c>
    </row>
    <row r="975" spans="1:12" x14ac:dyDescent="0.25">
      <c r="A975" t="s">
        <v>1114</v>
      </c>
      <c r="B975" t="s">
        <v>237</v>
      </c>
      <c r="C975">
        <v>3</v>
      </c>
      <c r="D975">
        <v>2</v>
      </c>
      <c r="G975">
        <v>5</v>
      </c>
      <c r="H975">
        <v>0</v>
      </c>
      <c r="I975">
        <f t="shared" si="60"/>
        <v>1</v>
      </c>
      <c r="J975">
        <f t="shared" si="61"/>
        <v>0</v>
      </c>
      <c r="K975">
        <f t="shared" si="62"/>
        <v>0</v>
      </c>
      <c r="L975">
        <f t="shared" si="63"/>
        <v>1</v>
      </c>
    </row>
    <row r="976" spans="1:12" x14ac:dyDescent="0.25">
      <c r="A976" t="s">
        <v>1115</v>
      </c>
      <c r="B976" t="s">
        <v>237</v>
      </c>
      <c r="C976">
        <v>12</v>
      </c>
      <c r="D976">
        <v>0</v>
      </c>
      <c r="G976">
        <v>12</v>
      </c>
      <c r="H976">
        <v>0</v>
      </c>
      <c r="I976">
        <f t="shared" si="60"/>
        <v>1</v>
      </c>
      <c r="J976">
        <f t="shared" si="61"/>
        <v>0</v>
      </c>
      <c r="K976">
        <f t="shared" si="62"/>
        <v>0</v>
      </c>
      <c r="L976">
        <f t="shared" si="63"/>
        <v>0</v>
      </c>
    </row>
    <row r="977" spans="1:12" x14ac:dyDescent="0.25">
      <c r="A977" t="s">
        <v>1116</v>
      </c>
      <c r="B977" t="s">
        <v>237</v>
      </c>
      <c r="C977">
        <v>8</v>
      </c>
      <c r="D977">
        <v>10</v>
      </c>
      <c r="G977">
        <v>18</v>
      </c>
      <c r="H977">
        <v>0</v>
      </c>
      <c r="I977">
        <f t="shared" si="60"/>
        <v>1</v>
      </c>
      <c r="J977">
        <f t="shared" si="61"/>
        <v>0</v>
      </c>
      <c r="K977">
        <f t="shared" si="62"/>
        <v>0</v>
      </c>
      <c r="L977">
        <f t="shared" si="63"/>
        <v>1</v>
      </c>
    </row>
    <row r="978" spans="1:12" x14ac:dyDescent="0.25">
      <c r="A978" t="s">
        <v>1117</v>
      </c>
      <c r="B978" t="s">
        <v>237</v>
      </c>
      <c r="C978">
        <v>12</v>
      </c>
      <c r="D978">
        <v>0</v>
      </c>
      <c r="G978">
        <v>12</v>
      </c>
      <c r="H978">
        <v>0</v>
      </c>
      <c r="I978">
        <f t="shared" si="60"/>
        <v>1</v>
      </c>
      <c r="J978">
        <f t="shared" si="61"/>
        <v>0</v>
      </c>
      <c r="K978">
        <f t="shared" si="62"/>
        <v>0</v>
      </c>
      <c r="L978">
        <f t="shared" si="63"/>
        <v>0</v>
      </c>
    </row>
    <row r="979" spans="1:12" x14ac:dyDescent="0.25">
      <c r="A979" t="s">
        <v>1118</v>
      </c>
      <c r="B979" t="s">
        <v>237</v>
      </c>
      <c r="C979">
        <v>6</v>
      </c>
      <c r="D979">
        <v>6</v>
      </c>
      <c r="G979">
        <v>12</v>
      </c>
      <c r="H979">
        <v>0</v>
      </c>
      <c r="I979">
        <f t="shared" si="60"/>
        <v>1</v>
      </c>
      <c r="J979">
        <f t="shared" si="61"/>
        <v>0</v>
      </c>
      <c r="K979">
        <f t="shared" si="62"/>
        <v>0</v>
      </c>
      <c r="L979">
        <f t="shared" si="63"/>
        <v>1</v>
      </c>
    </row>
    <row r="980" spans="1:12" x14ac:dyDescent="0.25">
      <c r="A980" t="s">
        <v>1119</v>
      </c>
      <c r="B980" t="s">
        <v>237</v>
      </c>
      <c r="C980">
        <v>20</v>
      </c>
      <c r="D980">
        <v>6</v>
      </c>
      <c r="G980">
        <v>26</v>
      </c>
      <c r="H980">
        <v>0</v>
      </c>
      <c r="I980">
        <f t="shared" si="60"/>
        <v>1</v>
      </c>
      <c r="J980">
        <f t="shared" si="61"/>
        <v>0</v>
      </c>
      <c r="K980">
        <f t="shared" si="62"/>
        <v>0</v>
      </c>
      <c r="L980">
        <f t="shared" si="63"/>
        <v>1</v>
      </c>
    </row>
    <row r="981" spans="1:12" x14ac:dyDescent="0.25">
      <c r="A981" t="s">
        <v>1120</v>
      </c>
      <c r="B981" t="s">
        <v>237</v>
      </c>
      <c r="C981">
        <v>6</v>
      </c>
      <c r="D981">
        <v>0</v>
      </c>
      <c r="G981">
        <v>6</v>
      </c>
      <c r="H981">
        <v>0</v>
      </c>
      <c r="I981">
        <f t="shared" si="60"/>
        <v>1</v>
      </c>
      <c r="J981">
        <f t="shared" si="61"/>
        <v>0</v>
      </c>
      <c r="K981">
        <f t="shared" si="62"/>
        <v>0</v>
      </c>
      <c r="L981">
        <f t="shared" si="63"/>
        <v>0</v>
      </c>
    </row>
    <row r="982" spans="1:12" x14ac:dyDescent="0.25">
      <c r="A982" t="s">
        <v>1121</v>
      </c>
      <c r="B982" t="s">
        <v>237</v>
      </c>
      <c r="C982">
        <v>18</v>
      </c>
      <c r="D982">
        <v>0</v>
      </c>
      <c r="G982">
        <v>18</v>
      </c>
      <c r="H982">
        <v>0</v>
      </c>
      <c r="I982">
        <f t="shared" si="60"/>
        <v>1</v>
      </c>
      <c r="J982">
        <f t="shared" si="61"/>
        <v>0</v>
      </c>
      <c r="K982">
        <f t="shared" si="62"/>
        <v>0</v>
      </c>
      <c r="L982">
        <f t="shared" si="63"/>
        <v>0</v>
      </c>
    </row>
    <row r="983" spans="1:12" x14ac:dyDescent="0.25">
      <c r="A983" t="s">
        <v>1122</v>
      </c>
      <c r="B983" t="s">
        <v>237</v>
      </c>
      <c r="C983">
        <v>12</v>
      </c>
      <c r="D983">
        <v>0</v>
      </c>
      <c r="G983">
        <v>12</v>
      </c>
      <c r="H983">
        <v>0</v>
      </c>
      <c r="I983">
        <f t="shared" si="60"/>
        <v>1</v>
      </c>
      <c r="J983">
        <f t="shared" si="61"/>
        <v>0</v>
      </c>
      <c r="K983">
        <f t="shared" si="62"/>
        <v>0</v>
      </c>
      <c r="L983">
        <f t="shared" si="63"/>
        <v>0</v>
      </c>
    </row>
    <row r="984" spans="1:12" x14ac:dyDescent="0.25">
      <c r="A984" t="s">
        <v>1123</v>
      </c>
      <c r="B984" t="s">
        <v>237</v>
      </c>
      <c r="C984">
        <v>16</v>
      </c>
      <c r="D984">
        <v>0</v>
      </c>
      <c r="G984">
        <v>16</v>
      </c>
      <c r="H984">
        <v>0</v>
      </c>
      <c r="I984">
        <f t="shared" si="60"/>
        <v>1</v>
      </c>
      <c r="J984">
        <f t="shared" si="61"/>
        <v>0</v>
      </c>
      <c r="K984">
        <f t="shared" si="62"/>
        <v>0</v>
      </c>
      <c r="L984">
        <f t="shared" si="63"/>
        <v>0</v>
      </c>
    </row>
    <row r="985" spans="1:12" x14ac:dyDescent="0.25">
      <c r="A985" t="s">
        <v>1124</v>
      </c>
      <c r="B985" t="s">
        <v>237</v>
      </c>
      <c r="C985">
        <v>18</v>
      </c>
      <c r="D985">
        <v>0</v>
      </c>
      <c r="G985">
        <v>18</v>
      </c>
      <c r="H985">
        <v>0</v>
      </c>
      <c r="I985">
        <f t="shared" si="60"/>
        <v>1</v>
      </c>
      <c r="J985">
        <f t="shared" si="61"/>
        <v>0</v>
      </c>
      <c r="K985">
        <f t="shared" si="62"/>
        <v>0</v>
      </c>
      <c r="L985">
        <f t="shared" si="63"/>
        <v>0</v>
      </c>
    </row>
    <row r="986" spans="1:12" x14ac:dyDescent="0.25">
      <c r="A986" t="s">
        <v>1125</v>
      </c>
      <c r="B986" t="s">
        <v>237</v>
      </c>
      <c r="C986">
        <v>12</v>
      </c>
      <c r="D986">
        <v>0</v>
      </c>
      <c r="G986">
        <v>12</v>
      </c>
      <c r="H986">
        <v>0</v>
      </c>
      <c r="I986">
        <f t="shared" si="60"/>
        <v>1</v>
      </c>
      <c r="J986">
        <f t="shared" si="61"/>
        <v>0</v>
      </c>
      <c r="K986">
        <f t="shared" si="62"/>
        <v>0</v>
      </c>
      <c r="L986">
        <f t="shared" si="63"/>
        <v>0</v>
      </c>
    </row>
    <row r="987" spans="1:12" x14ac:dyDescent="0.25">
      <c r="A987" t="s">
        <v>1126</v>
      </c>
      <c r="B987" t="s">
        <v>237</v>
      </c>
      <c r="C987">
        <v>12</v>
      </c>
      <c r="D987">
        <v>29</v>
      </c>
      <c r="G987">
        <v>41</v>
      </c>
      <c r="H987">
        <v>0</v>
      </c>
      <c r="I987">
        <f t="shared" si="60"/>
        <v>1</v>
      </c>
      <c r="J987">
        <f t="shared" si="61"/>
        <v>0</v>
      </c>
      <c r="K987">
        <f t="shared" si="62"/>
        <v>0</v>
      </c>
      <c r="L987">
        <f t="shared" si="63"/>
        <v>1</v>
      </c>
    </row>
    <row r="988" spans="1:12" x14ac:dyDescent="0.25">
      <c r="A988" t="s">
        <v>1127</v>
      </c>
      <c r="B988" t="s">
        <v>237</v>
      </c>
      <c r="C988">
        <v>0</v>
      </c>
      <c r="E988">
        <v>0</v>
      </c>
      <c r="G988">
        <v>0</v>
      </c>
      <c r="H988">
        <v>0</v>
      </c>
      <c r="I988">
        <f t="shared" si="60"/>
        <v>0</v>
      </c>
      <c r="J988">
        <f t="shared" si="61"/>
        <v>0</v>
      </c>
      <c r="K988">
        <f t="shared" si="62"/>
        <v>0</v>
      </c>
      <c r="L988">
        <f t="shared" si="63"/>
        <v>0</v>
      </c>
    </row>
    <row r="989" spans="1:12" x14ac:dyDescent="0.25">
      <c r="A989" t="s">
        <v>1128</v>
      </c>
      <c r="B989" t="s">
        <v>237</v>
      </c>
      <c r="C989">
        <v>6</v>
      </c>
      <c r="D989">
        <v>6</v>
      </c>
      <c r="G989">
        <v>12</v>
      </c>
      <c r="H989">
        <v>0</v>
      </c>
      <c r="I989">
        <f t="shared" si="60"/>
        <v>1</v>
      </c>
      <c r="J989">
        <f t="shared" si="61"/>
        <v>0</v>
      </c>
      <c r="K989">
        <f t="shared" si="62"/>
        <v>0</v>
      </c>
      <c r="L989">
        <f t="shared" si="63"/>
        <v>1</v>
      </c>
    </row>
    <row r="990" spans="1:12" x14ac:dyDescent="0.25">
      <c r="A990" t="s">
        <v>1129</v>
      </c>
      <c r="B990" t="s">
        <v>237</v>
      </c>
      <c r="C990">
        <v>17</v>
      </c>
      <c r="D990">
        <v>0</v>
      </c>
      <c r="G990">
        <v>17</v>
      </c>
      <c r="H990">
        <v>0</v>
      </c>
      <c r="I990">
        <f t="shared" si="60"/>
        <v>1</v>
      </c>
      <c r="J990">
        <f t="shared" si="61"/>
        <v>0</v>
      </c>
      <c r="K990">
        <f t="shared" si="62"/>
        <v>0</v>
      </c>
      <c r="L990">
        <f t="shared" si="63"/>
        <v>0</v>
      </c>
    </row>
    <row r="991" spans="1:12" x14ac:dyDescent="0.25">
      <c r="A991" t="s">
        <v>1130</v>
      </c>
      <c r="B991" t="s">
        <v>237</v>
      </c>
      <c r="C991">
        <v>12</v>
      </c>
      <c r="D991">
        <v>4</v>
      </c>
      <c r="G991">
        <v>16</v>
      </c>
      <c r="H991">
        <v>0</v>
      </c>
      <c r="I991">
        <f t="shared" si="60"/>
        <v>1</v>
      </c>
      <c r="J991">
        <f t="shared" si="61"/>
        <v>0</v>
      </c>
      <c r="K991">
        <f t="shared" si="62"/>
        <v>0</v>
      </c>
      <c r="L991">
        <f t="shared" si="63"/>
        <v>1</v>
      </c>
    </row>
    <row r="992" spans="1:12" x14ac:dyDescent="0.25">
      <c r="A992" t="s">
        <v>1131</v>
      </c>
      <c r="B992" t="s">
        <v>237</v>
      </c>
      <c r="C992">
        <v>16</v>
      </c>
      <c r="D992">
        <v>10</v>
      </c>
      <c r="G992">
        <v>26</v>
      </c>
      <c r="H992">
        <v>0</v>
      </c>
      <c r="I992">
        <f t="shared" si="60"/>
        <v>1</v>
      </c>
      <c r="J992">
        <f t="shared" si="61"/>
        <v>0</v>
      </c>
      <c r="K992">
        <f t="shared" si="62"/>
        <v>0</v>
      </c>
      <c r="L992">
        <f t="shared" si="63"/>
        <v>1</v>
      </c>
    </row>
    <row r="993" spans="1:12" x14ac:dyDescent="0.25">
      <c r="A993" t="s">
        <v>1132</v>
      </c>
      <c r="B993" t="s">
        <v>237</v>
      </c>
      <c r="C993">
        <v>52</v>
      </c>
      <c r="D993">
        <v>0</v>
      </c>
      <c r="G993">
        <v>52</v>
      </c>
      <c r="H993">
        <v>0</v>
      </c>
      <c r="I993">
        <f t="shared" si="60"/>
        <v>1</v>
      </c>
      <c r="J993">
        <f t="shared" si="61"/>
        <v>0</v>
      </c>
      <c r="K993">
        <f t="shared" si="62"/>
        <v>0</v>
      </c>
      <c r="L993">
        <f t="shared" si="63"/>
        <v>0</v>
      </c>
    </row>
    <row r="994" spans="1:12" x14ac:dyDescent="0.25">
      <c r="A994" t="s">
        <v>1133</v>
      </c>
      <c r="B994" t="s">
        <v>237</v>
      </c>
      <c r="C994">
        <v>26</v>
      </c>
      <c r="D994">
        <v>52</v>
      </c>
      <c r="G994">
        <v>78</v>
      </c>
      <c r="H994">
        <v>0</v>
      </c>
      <c r="I994">
        <f t="shared" si="60"/>
        <v>1</v>
      </c>
      <c r="J994">
        <f t="shared" si="61"/>
        <v>0</v>
      </c>
      <c r="K994">
        <f t="shared" si="62"/>
        <v>0</v>
      </c>
      <c r="L994">
        <f t="shared" si="63"/>
        <v>1</v>
      </c>
    </row>
    <row r="995" spans="1:12" x14ac:dyDescent="0.25">
      <c r="A995" t="s">
        <v>1134</v>
      </c>
      <c r="B995" t="s">
        <v>1135</v>
      </c>
      <c r="C995">
        <v>4</v>
      </c>
      <c r="D995">
        <v>3</v>
      </c>
      <c r="G995">
        <v>7</v>
      </c>
      <c r="H995">
        <v>0</v>
      </c>
      <c r="I995">
        <f t="shared" si="60"/>
        <v>1</v>
      </c>
      <c r="J995">
        <f t="shared" si="61"/>
        <v>0</v>
      </c>
      <c r="K995">
        <f t="shared" si="62"/>
        <v>0</v>
      </c>
      <c r="L995">
        <f t="shared" si="63"/>
        <v>1</v>
      </c>
    </row>
    <row r="996" spans="1:12" x14ac:dyDescent="0.25">
      <c r="A996" t="s">
        <v>1136</v>
      </c>
      <c r="B996" t="s">
        <v>240</v>
      </c>
      <c r="C996">
        <v>3</v>
      </c>
      <c r="D996">
        <v>0</v>
      </c>
      <c r="G996">
        <v>3</v>
      </c>
      <c r="H996">
        <v>0</v>
      </c>
      <c r="I996">
        <f t="shared" si="60"/>
        <v>1</v>
      </c>
      <c r="J996">
        <f t="shared" si="61"/>
        <v>0</v>
      </c>
      <c r="K996">
        <f t="shared" si="62"/>
        <v>0</v>
      </c>
      <c r="L996">
        <f t="shared" si="63"/>
        <v>0</v>
      </c>
    </row>
    <row r="997" spans="1:12" x14ac:dyDescent="0.25">
      <c r="A997" t="s">
        <v>1137</v>
      </c>
      <c r="B997" t="s">
        <v>240</v>
      </c>
      <c r="C997">
        <v>4</v>
      </c>
      <c r="D997">
        <v>2</v>
      </c>
      <c r="G997">
        <v>6</v>
      </c>
      <c r="H997">
        <v>0</v>
      </c>
      <c r="I997">
        <f t="shared" si="60"/>
        <v>1</v>
      </c>
      <c r="J997">
        <f t="shared" si="61"/>
        <v>0</v>
      </c>
      <c r="K997">
        <f t="shared" si="62"/>
        <v>0</v>
      </c>
      <c r="L997">
        <f t="shared" si="63"/>
        <v>1</v>
      </c>
    </row>
    <row r="998" spans="1:12" x14ac:dyDescent="0.25">
      <c r="A998" t="s">
        <v>1138</v>
      </c>
      <c r="B998" t="s">
        <v>240</v>
      </c>
      <c r="C998">
        <v>18</v>
      </c>
      <c r="D998">
        <v>0</v>
      </c>
      <c r="G998">
        <v>18</v>
      </c>
      <c r="H998">
        <v>0</v>
      </c>
      <c r="I998">
        <f t="shared" si="60"/>
        <v>1</v>
      </c>
      <c r="J998">
        <f t="shared" si="61"/>
        <v>0</v>
      </c>
      <c r="K998">
        <f t="shared" si="62"/>
        <v>0</v>
      </c>
      <c r="L998">
        <f t="shared" si="63"/>
        <v>0</v>
      </c>
    </row>
    <row r="999" spans="1:12" x14ac:dyDescent="0.25">
      <c r="A999" t="s">
        <v>1139</v>
      </c>
      <c r="B999" t="s">
        <v>1140</v>
      </c>
      <c r="C999">
        <v>12</v>
      </c>
      <c r="D999">
        <v>12</v>
      </c>
      <c r="G999">
        <v>24</v>
      </c>
      <c r="H999">
        <v>0</v>
      </c>
      <c r="I999">
        <f t="shared" si="60"/>
        <v>1</v>
      </c>
      <c r="J999">
        <f t="shared" si="61"/>
        <v>0</v>
      </c>
      <c r="K999">
        <f t="shared" si="62"/>
        <v>0</v>
      </c>
      <c r="L999">
        <f t="shared" si="63"/>
        <v>1</v>
      </c>
    </row>
    <row r="1000" spans="1:12" x14ac:dyDescent="0.25">
      <c r="A1000" t="s">
        <v>1141</v>
      </c>
      <c r="B1000" t="s">
        <v>242</v>
      </c>
      <c r="C1000">
        <v>4</v>
      </c>
      <c r="D1000">
        <v>0</v>
      </c>
      <c r="G1000">
        <v>4</v>
      </c>
      <c r="H1000">
        <v>0</v>
      </c>
      <c r="I1000">
        <f t="shared" si="60"/>
        <v>1</v>
      </c>
      <c r="J1000">
        <f t="shared" si="61"/>
        <v>0</v>
      </c>
      <c r="K1000">
        <f t="shared" si="62"/>
        <v>0</v>
      </c>
      <c r="L1000">
        <f t="shared" si="63"/>
        <v>0</v>
      </c>
    </row>
    <row r="1001" spans="1:12" x14ac:dyDescent="0.25">
      <c r="A1001" t="s">
        <v>1142</v>
      </c>
      <c r="B1001" t="s">
        <v>242</v>
      </c>
      <c r="C1001">
        <v>12</v>
      </c>
      <c r="D1001">
        <v>12</v>
      </c>
      <c r="G1001">
        <v>24</v>
      </c>
      <c r="H1001">
        <v>0</v>
      </c>
      <c r="I1001">
        <f t="shared" si="60"/>
        <v>1</v>
      </c>
      <c r="J1001">
        <f t="shared" si="61"/>
        <v>0</v>
      </c>
      <c r="K1001">
        <f t="shared" si="62"/>
        <v>0</v>
      </c>
      <c r="L1001">
        <f t="shared" si="63"/>
        <v>1</v>
      </c>
    </row>
    <row r="1002" spans="1:12" x14ac:dyDescent="0.25">
      <c r="A1002" t="s">
        <v>1143</v>
      </c>
      <c r="B1002" t="s">
        <v>242</v>
      </c>
      <c r="C1002">
        <v>16</v>
      </c>
      <c r="D1002">
        <v>4</v>
      </c>
      <c r="G1002">
        <v>20</v>
      </c>
      <c r="H1002">
        <v>0</v>
      </c>
      <c r="I1002">
        <f t="shared" si="60"/>
        <v>1</v>
      </c>
      <c r="J1002">
        <f t="shared" si="61"/>
        <v>0</v>
      </c>
      <c r="K1002">
        <f t="shared" si="62"/>
        <v>0</v>
      </c>
      <c r="L1002">
        <f t="shared" si="63"/>
        <v>1</v>
      </c>
    </row>
    <row r="1003" spans="1:12" x14ac:dyDescent="0.25">
      <c r="A1003" t="s">
        <v>1144</v>
      </c>
      <c r="B1003" t="s">
        <v>242</v>
      </c>
      <c r="C1003">
        <v>2</v>
      </c>
      <c r="D1003">
        <v>0</v>
      </c>
      <c r="G1003">
        <v>2</v>
      </c>
      <c r="H1003">
        <v>0</v>
      </c>
      <c r="I1003">
        <f t="shared" si="60"/>
        <v>1</v>
      </c>
      <c r="J1003">
        <f t="shared" si="61"/>
        <v>0</v>
      </c>
      <c r="K1003">
        <f t="shared" si="62"/>
        <v>0</v>
      </c>
      <c r="L1003">
        <f t="shared" si="63"/>
        <v>0</v>
      </c>
    </row>
    <row r="1004" spans="1:12" x14ac:dyDescent="0.25">
      <c r="A1004" t="s">
        <v>1145</v>
      </c>
      <c r="B1004" t="s">
        <v>242</v>
      </c>
      <c r="C1004">
        <v>26</v>
      </c>
      <c r="E1004">
        <v>6</v>
      </c>
      <c r="G1004">
        <v>26</v>
      </c>
      <c r="H1004">
        <v>6</v>
      </c>
      <c r="I1004">
        <f t="shared" si="60"/>
        <v>1</v>
      </c>
      <c r="J1004">
        <f t="shared" si="61"/>
        <v>1</v>
      </c>
      <c r="K1004">
        <f t="shared" si="62"/>
        <v>0</v>
      </c>
      <c r="L1004">
        <f t="shared" si="63"/>
        <v>0</v>
      </c>
    </row>
    <row r="1005" spans="1:12" x14ac:dyDescent="0.25">
      <c r="A1005" t="s">
        <v>1146</v>
      </c>
      <c r="B1005" t="s">
        <v>242</v>
      </c>
      <c r="C1005">
        <v>12</v>
      </c>
      <c r="D1005">
        <v>10</v>
      </c>
      <c r="G1005">
        <v>22</v>
      </c>
      <c r="H1005">
        <v>0</v>
      </c>
      <c r="I1005">
        <f t="shared" si="60"/>
        <v>1</v>
      </c>
      <c r="J1005">
        <f t="shared" si="61"/>
        <v>0</v>
      </c>
      <c r="K1005">
        <f t="shared" si="62"/>
        <v>0</v>
      </c>
      <c r="L1005">
        <f t="shared" si="63"/>
        <v>1</v>
      </c>
    </row>
    <row r="1006" spans="1:12" x14ac:dyDescent="0.25">
      <c r="A1006" t="s">
        <v>1147</v>
      </c>
      <c r="B1006" t="s">
        <v>242</v>
      </c>
      <c r="C1006">
        <v>12</v>
      </c>
      <c r="D1006">
        <v>0</v>
      </c>
      <c r="G1006">
        <v>12</v>
      </c>
      <c r="H1006">
        <v>0</v>
      </c>
      <c r="I1006">
        <f t="shared" si="60"/>
        <v>1</v>
      </c>
      <c r="J1006">
        <f t="shared" si="61"/>
        <v>0</v>
      </c>
      <c r="K1006">
        <f t="shared" si="62"/>
        <v>0</v>
      </c>
      <c r="L1006">
        <f t="shared" si="63"/>
        <v>0</v>
      </c>
    </row>
    <row r="1007" spans="1:12" x14ac:dyDescent="0.25">
      <c r="A1007" t="s">
        <v>1148</v>
      </c>
      <c r="B1007" t="s">
        <v>242</v>
      </c>
      <c r="C1007">
        <v>10</v>
      </c>
      <c r="D1007">
        <v>2.5</v>
      </c>
      <c r="G1007">
        <v>12.5</v>
      </c>
      <c r="H1007">
        <v>0</v>
      </c>
      <c r="I1007">
        <f t="shared" si="60"/>
        <v>1</v>
      </c>
      <c r="J1007">
        <f t="shared" si="61"/>
        <v>0</v>
      </c>
      <c r="K1007">
        <f t="shared" si="62"/>
        <v>0</v>
      </c>
      <c r="L1007">
        <f t="shared" si="63"/>
        <v>1</v>
      </c>
    </row>
    <row r="1008" spans="1:12" x14ac:dyDescent="0.25">
      <c r="A1008" t="s">
        <v>1149</v>
      </c>
      <c r="B1008" t="s">
        <v>242</v>
      </c>
      <c r="C1008">
        <v>4</v>
      </c>
      <c r="D1008">
        <v>6</v>
      </c>
      <c r="G1008">
        <v>10</v>
      </c>
      <c r="H1008">
        <v>0</v>
      </c>
      <c r="I1008">
        <f t="shared" si="60"/>
        <v>1</v>
      </c>
      <c r="J1008">
        <f t="shared" si="61"/>
        <v>0</v>
      </c>
      <c r="K1008">
        <f t="shared" si="62"/>
        <v>0</v>
      </c>
      <c r="L1008">
        <f t="shared" si="63"/>
        <v>1</v>
      </c>
    </row>
    <row r="1009" spans="1:12" x14ac:dyDescent="0.25">
      <c r="A1009" t="s">
        <v>1150</v>
      </c>
      <c r="B1009" t="s">
        <v>242</v>
      </c>
      <c r="C1009">
        <v>4</v>
      </c>
      <c r="D1009">
        <v>12</v>
      </c>
      <c r="G1009">
        <v>16</v>
      </c>
      <c r="H1009">
        <v>0</v>
      </c>
      <c r="I1009">
        <f t="shared" si="60"/>
        <v>1</v>
      </c>
      <c r="J1009">
        <f t="shared" si="61"/>
        <v>0</v>
      </c>
      <c r="K1009">
        <f t="shared" si="62"/>
        <v>0</v>
      </c>
      <c r="L1009">
        <f t="shared" si="63"/>
        <v>1</v>
      </c>
    </row>
    <row r="1010" spans="1:12" x14ac:dyDescent="0.25">
      <c r="A1010" t="s">
        <v>1151</v>
      </c>
      <c r="B1010" t="s">
        <v>1152</v>
      </c>
      <c r="C1010">
        <v>1</v>
      </c>
      <c r="D1010">
        <v>12</v>
      </c>
      <c r="G1010">
        <v>13</v>
      </c>
      <c r="H1010">
        <v>0</v>
      </c>
      <c r="I1010">
        <f t="shared" si="60"/>
        <v>1</v>
      </c>
      <c r="J1010">
        <f t="shared" si="61"/>
        <v>0</v>
      </c>
      <c r="K1010">
        <f t="shared" si="62"/>
        <v>0</v>
      </c>
      <c r="L1010">
        <f t="shared" si="63"/>
        <v>1</v>
      </c>
    </row>
    <row r="1011" spans="1:12" x14ac:dyDescent="0.25">
      <c r="A1011" t="s">
        <v>1153</v>
      </c>
      <c r="B1011" t="s">
        <v>1152</v>
      </c>
      <c r="C1011">
        <v>20</v>
      </c>
      <c r="D1011">
        <v>0</v>
      </c>
      <c r="G1011">
        <v>20</v>
      </c>
      <c r="H1011">
        <v>0</v>
      </c>
      <c r="I1011">
        <f t="shared" si="60"/>
        <v>1</v>
      </c>
      <c r="J1011">
        <f t="shared" si="61"/>
        <v>0</v>
      </c>
      <c r="K1011">
        <f t="shared" si="62"/>
        <v>0</v>
      </c>
      <c r="L1011">
        <f t="shared" si="63"/>
        <v>0</v>
      </c>
    </row>
    <row r="1012" spans="1:12" x14ac:dyDescent="0.25">
      <c r="A1012" t="s">
        <v>1154</v>
      </c>
      <c r="B1012" t="s">
        <v>1152</v>
      </c>
      <c r="C1012">
        <v>12</v>
      </c>
      <c r="D1012">
        <v>0</v>
      </c>
      <c r="G1012">
        <v>12</v>
      </c>
      <c r="H1012">
        <v>0</v>
      </c>
      <c r="I1012">
        <f t="shared" si="60"/>
        <v>1</v>
      </c>
      <c r="J1012">
        <f t="shared" si="61"/>
        <v>0</v>
      </c>
      <c r="K1012">
        <f t="shared" si="62"/>
        <v>0</v>
      </c>
      <c r="L1012">
        <f t="shared" si="63"/>
        <v>0</v>
      </c>
    </row>
    <row r="1013" spans="1:12" x14ac:dyDescent="0.25">
      <c r="A1013" t="s">
        <v>1155</v>
      </c>
      <c r="B1013" t="s">
        <v>1152</v>
      </c>
      <c r="C1013">
        <v>12</v>
      </c>
      <c r="D1013">
        <v>3</v>
      </c>
      <c r="G1013">
        <v>15</v>
      </c>
      <c r="H1013">
        <v>0</v>
      </c>
      <c r="I1013">
        <f t="shared" si="60"/>
        <v>1</v>
      </c>
      <c r="J1013">
        <f t="shared" si="61"/>
        <v>0</v>
      </c>
      <c r="K1013">
        <f t="shared" si="62"/>
        <v>0</v>
      </c>
      <c r="L1013">
        <f t="shared" si="63"/>
        <v>1</v>
      </c>
    </row>
    <row r="1014" spans="1:12" x14ac:dyDescent="0.25">
      <c r="A1014" t="s">
        <v>1156</v>
      </c>
      <c r="B1014" t="s">
        <v>1157</v>
      </c>
      <c r="C1014">
        <v>6</v>
      </c>
      <c r="D1014">
        <v>0</v>
      </c>
      <c r="G1014">
        <v>6</v>
      </c>
      <c r="H1014">
        <v>0</v>
      </c>
      <c r="I1014">
        <f t="shared" si="60"/>
        <v>1</v>
      </c>
      <c r="J1014">
        <f t="shared" si="61"/>
        <v>0</v>
      </c>
      <c r="K1014">
        <f t="shared" si="62"/>
        <v>0</v>
      </c>
      <c r="L1014">
        <f t="shared" si="63"/>
        <v>0</v>
      </c>
    </row>
    <row r="1015" spans="1:12" x14ac:dyDescent="0.25">
      <c r="A1015" t="s">
        <v>1158</v>
      </c>
      <c r="B1015" t="s">
        <v>1157</v>
      </c>
      <c r="C1015">
        <v>12</v>
      </c>
      <c r="D1015">
        <v>4</v>
      </c>
      <c r="G1015">
        <v>16</v>
      </c>
      <c r="H1015">
        <v>0</v>
      </c>
      <c r="I1015">
        <f t="shared" si="60"/>
        <v>1</v>
      </c>
      <c r="J1015">
        <f t="shared" si="61"/>
        <v>0</v>
      </c>
      <c r="K1015">
        <f t="shared" si="62"/>
        <v>0</v>
      </c>
      <c r="L1015">
        <f t="shared" si="63"/>
        <v>1</v>
      </c>
    </row>
    <row r="1016" spans="1:12" x14ac:dyDescent="0.25">
      <c r="A1016" t="s">
        <v>1159</v>
      </c>
      <c r="B1016" t="s">
        <v>1160</v>
      </c>
      <c r="C1016">
        <v>12</v>
      </c>
      <c r="D1016">
        <v>0</v>
      </c>
      <c r="G1016">
        <v>12</v>
      </c>
      <c r="H1016">
        <v>0</v>
      </c>
      <c r="I1016">
        <f t="shared" si="60"/>
        <v>1</v>
      </c>
      <c r="J1016">
        <f t="shared" si="61"/>
        <v>0</v>
      </c>
      <c r="K1016">
        <f t="shared" si="62"/>
        <v>0</v>
      </c>
      <c r="L1016">
        <f t="shared" si="63"/>
        <v>0</v>
      </c>
    </row>
    <row r="1017" spans="1:12" x14ac:dyDescent="0.25">
      <c r="A1017" t="s">
        <v>1161</v>
      </c>
      <c r="B1017" t="s">
        <v>1160</v>
      </c>
      <c r="C1017">
        <v>20</v>
      </c>
      <c r="D1017">
        <v>12</v>
      </c>
      <c r="G1017">
        <v>32</v>
      </c>
      <c r="H1017">
        <v>0</v>
      </c>
      <c r="I1017">
        <f t="shared" si="60"/>
        <v>1</v>
      </c>
      <c r="J1017">
        <f t="shared" si="61"/>
        <v>0</v>
      </c>
      <c r="K1017">
        <f t="shared" si="62"/>
        <v>0</v>
      </c>
      <c r="L1017">
        <f t="shared" si="63"/>
        <v>1</v>
      </c>
    </row>
    <row r="1018" spans="1:12" x14ac:dyDescent="0.25">
      <c r="A1018" t="s">
        <v>1162</v>
      </c>
      <c r="B1018" t="s">
        <v>1160</v>
      </c>
      <c r="C1018">
        <v>12</v>
      </c>
      <c r="D1018">
        <v>0</v>
      </c>
      <c r="G1018">
        <v>12</v>
      </c>
      <c r="H1018">
        <v>0</v>
      </c>
      <c r="I1018">
        <f t="shared" si="60"/>
        <v>1</v>
      </c>
      <c r="J1018">
        <f t="shared" si="61"/>
        <v>0</v>
      </c>
      <c r="K1018">
        <f t="shared" si="62"/>
        <v>0</v>
      </c>
      <c r="L1018">
        <f t="shared" si="63"/>
        <v>0</v>
      </c>
    </row>
    <row r="1019" spans="1:12" x14ac:dyDescent="0.25">
      <c r="A1019" t="s">
        <v>1163</v>
      </c>
      <c r="B1019" t="s">
        <v>1160</v>
      </c>
      <c r="C1019">
        <v>2</v>
      </c>
      <c r="D1019">
        <v>12</v>
      </c>
      <c r="G1019">
        <v>14</v>
      </c>
      <c r="H1019">
        <v>0</v>
      </c>
      <c r="I1019">
        <f t="shared" si="60"/>
        <v>1</v>
      </c>
      <c r="J1019">
        <f t="shared" si="61"/>
        <v>0</v>
      </c>
      <c r="K1019">
        <f t="shared" si="62"/>
        <v>0</v>
      </c>
      <c r="L1019">
        <f t="shared" si="63"/>
        <v>1</v>
      </c>
    </row>
    <row r="1020" spans="1:12" x14ac:dyDescent="0.25">
      <c r="A1020" t="s">
        <v>1164</v>
      </c>
      <c r="B1020" t="s">
        <v>1160</v>
      </c>
      <c r="C1020">
        <v>16</v>
      </c>
      <c r="D1020">
        <v>16</v>
      </c>
      <c r="G1020">
        <v>32</v>
      </c>
      <c r="H1020">
        <v>0</v>
      </c>
      <c r="I1020">
        <f t="shared" si="60"/>
        <v>1</v>
      </c>
      <c r="J1020">
        <f t="shared" si="61"/>
        <v>0</v>
      </c>
      <c r="K1020">
        <f t="shared" si="62"/>
        <v>0</v>
      </c>
      <c r="L1020">
        <f t="shared" si="63"/>
        <v>1</v>
      </c>
    </row>
    <row r="1021" spans="1:12" x14ac:dyDescent="0.25">
      <c r="A1021" t="s">
        <v>1165</v>
      </c>
      <c r="B1021" t="s">
        <v>1160</v>
      </c>
      <c r="C1021">
        <v>20</v>
      </c>
      <c r="D1021">
        <v>20</v>
      </c>
      <c r="G1021">
        <v>40</v>
      </c>
      <c r="H1021">
        <v>0</v>
      </c>
      <c r="I1021">
        <f t="shared" si="60"/>
        <v>1</v>
      </c>
      <c r="J1021">
        <f t="shared" si="61"/>
        <v>0</v>
      </c>
      <c r="K1021">
        <f t="shared" si="62"/>
        <v>0</v>
      </c>
      <c r="L1021">
        <f t="shared" si="63"/>
        <v>1</v>
      </c>
    </row>
    <row r="1022" spans="1:12" x14ac:dyDescent="0.25">
      <c r="A1022" t="s">
        <v>1166</v>
      </c>
      <c r="B1022" t="s">
        <v>1160</v>
      </c>
      <c r="C1022">
        <v>18</v>
      </c>
      <c r="D1022">
        <v>0</v>
      </c>
      <c r="G1022">
        <v>18</v>
      </c>
      <c r="H1022">
        <v>0</v>
      </c>
      <c r="I1022">
        <f t="shared" si="60"/>
        <v>1</v>
      </c>
      <c r="J1022">
        <f t="shared" si="61"/>
        <v>0</v>
      </c>
      <c r="K1022">
        <f t="shared" si="62"/>
        <v>0</v>
      </c>
      <c r="L1022">
        <f t="shared" si="63"/>
        <v>0</v>
      </c>
    </row>
    <row r="1023" spans="1:12" x14ac:dyDescent="0.25">
      <c r="A1023" t="s">
        <v>1167</v>
      </c>
      <c r="B1023" t="s">
        <v>48</v>
      </c>
      <c r="C1023">
        <v>12</v>
      </c>
      <c r="D1023">
        <v>0</v>
      </c>
      <c r="G1023">
        <v>12</v>
      </c>
      <c r="H1023">
        <v>0</v>
      </c>
      <c r="I1023">
        <f t="shared" si="60"/>
        <v>1</v>
      </c>
      <c r="J1023">
        <f t="shared" si="61"/>
        <v>0</v>
      </c>
      <c r="K1023">
        <f t="shared" si="62"/>
        <v>0</v>
      </c>
      <c r="L1023">
        <f t="shared" si="63"/>
        <v>0</v>
      </c>
    </row>
    <row r="1024" spans="1:12" x14ac:dyDescent="0.25">
      <c r="A1024" t="s">
        <v>1168</v>
      </c>
      <c r="B1024" t="s">
        <v>48</v>
      </c>
      <c r="C1024">
        <v>6</v>
      </c>
      <c r="D1024">
        <v>0</v>
      </c>
      <c r="G1024">
        <v>6</v>
      </c>
      <c r="H1024">
        <v>0</v>
      </c>
      <c r="I1024">
        <f t="shared" si="60"/>
        <v>1</v>
      </c>
      <c r="J1024">
        <f t="shared" si="61"/>
        <v>0</v>
      </c>
      <c r="K1024">
        <f t="shared" si="62"/>
        <v>0</v>
      </c>
      <c r="L1024">
        <f t="shared" si="63"/>
        <v>0</v>
      </c>
    </row>
    <row r="1025" spans="1:12" x14ac:dyDescent="0.25">
      <c r="A1025" t="s">
        <v>1169</v>
      </c>
      <c r="B1025" t="s">
        <v>1170</v>
      </c>
      <c r="C1025">
        <v>52</v>
      </c>
      <c r="D1025">
        <v>40</v>
      </c>
      <c r="G1025">
        <v>92</v>
      </c>
      <c r="H1025">
        <v>0</v>
      </c>
      <c r="I1025">
        <f t="shared" si="60"/>
        <v>1</v>
      </c>
      <c r="J1025">
        <f t="shared" si="61"/>
        <v>0</v>
      </c>
      <c r="K1025">
        <f t="shared" si="62"/>
        <v>0</v>
      </c>
      <c r="L1025">
        <f t="shared" si="63"/>
        <v>1</v>
      </c>
    </row>
    <row r="1026" spans="1:12" x14ac:dyDescent="0.25">
      <c r="A1026" t="s">
        <v>1171</v>
      </c>
      <c r="B1026" t="s">
        <v>1170</v>
      </c>
      <c r="C1026">
        <v>10</v>
      </c>
      <c r="D1026">
        <v>2</v>
      </c>
      <c r="G1026">
        <v>12</v>
      </c>
      <c r="H1026">
        <v>0</v>
      </c>
      <c r="I1026">
        <f t="shared" si="60"/>
        <v>1</v>
      </c>
      <c r="J1026">
        <f t="shared" si="61"/>
        <v>0</v>
      </c>
      <c r="K1026">
        <f t="shared" si="62"/>
        <v>0</v>
      </c>
      <c r="L1026">
        <f t="shared" si="63"/>
        <v>1</v>
      </c>
    </row>
    <row r="1027" spans="1:12" x14ac:dyDescent="0.25">
      <c r="A1027" t="s">
        <v>1172</v>
      </c>
      <c r="B1027" t="s">
        <v>1170</v>
      </c>
      <c r="C1027">
        <v>15</v>
      </c>
      <c r="D1027">
        <v>0</v>
      </c>
      <c r="G1027">
        <v>15</v>
      </c>
      <c r="H1027">
        <v>0</v>
      </c>
      <c r="I1027">
        <f t="shared" ref="I1027:I1090" si="64">IF(C1027&gt;0, 1, 0)</f>
        <v>1</v>
      </c>
      <c r="J1027">
        <f t="shared" ref="J1027:J1090" si="65">IF(E1027&gt;0, 1,0)</f>
        <v>0</v>
      </c>
      <c r="K1027">
        <f t="shared" ref="K1027:K1090" si="66">IF(F1027&gt;0, 1, 0)</f>
        <v>0</v>
      </c>
      <c r="L1027">
        <f t="shared" ref="L1027:L1090" si="67">IF(D1027&gt;0, 1, 0)</f>
        <v>0</v>
      </c>
    </row>
    <row r="1028" spans="1:12" x14ac:dyDescent="0.25">
      <c r="A1028" t="s">
        <v>1173</v>
      </c>
      <c r="B1028" t="s">
        <v>244</v>
      </c>
      <c r="C1028">
        <v>0</v>
      </c>
      <c r="D1028">
        <v>6</v>
      </c>
      <c r="G1028">
        <v>6</v>
      </c>
      <c r="H1028">
        <v>0</v>
      </c>
      <c r="I1028">
        <f t="shared" si="64"/>
        <v>0</v>
      </c>
      <c r="J1028">
        <f t="shared" si="65"/>
        <v>0</v>
      </c>
      <c r="K1028">
        <f t="shared" si="66"/>
        <v>0</v>
      </c>
      <c r="L1028">
        <f t="shared" si="67"/>
        <v>1</v>
      </c>
    </row>
    <row r="1029" spans="1:12" x14ac:dyDescent="0.25">
      <c r="A1029" t="s">
        <v>1174</v>
      </c>
      <c r="B1029" t="s">
        <v>244</v>
      </c>
      <c r="C1029">
        <v>6</v>
      </c>
      <c r="D1029">
        <v>0</v>
      </c>
      <c r="G1029">
        <v>6</v>
      </c>
      <c r="H1029">
        <v>0</v>
      </c>
      <c r="I1029">
        <f t="shared" si="64"/>
        <v>1</v>
      </c>
      <c r="J1029">
        <f t="shared" si="65"/>
        <v>0</v>
      </c>
      <c r="K1029">
        <f t="shared" si="66"/>
        <v>0</v>
      </c>
      <c r="L1029">
        <f t="shared" si="67"/>
        <v>0</v>
      </c>
    </row>
    <row r="1030" spans="1:12" x14ac:dyDescent="0.25">
      <c r="A1030" t="s">
        <v>1175</v>
      </c>
      <c r="B1030" t="s">
        <v>244</v>
      </c>
      <c r="C1030">
        <v>20.5</v>
      </c>
      <c r="D1030">
        <v>13</v>
      </c>
      <c r="G1030">
        <v>33.5</v>
      </c>
      <c r="H1030">
        <v>0</v>
      </c>
      <c r="I1030">
        <f t="shared" si="64"/>
        <v>1</v>
      </c>
      <c r="J1030">
        <f t="shared" si="65"/>
        <v>0</v>
      </c>
      <c r="K1030">
        <f t="shared" si="66"/>
        <v>0</v>
      </c>
      <c r="L1030">
        <f t="shared" si="67"/>
        <v>1</v>
      </c>
    </row>
    <row r="1031" spans="1:12" x14ac:dyDescent="0.25">
      <c r="A1031" t="s">
        <v>1176</v>
      </c>
      <c r="B1031" t="s">
        <v>1177</v>
      </c>
      <c r="C1031">
        <v>0</v>
      </c>
      <c r="D1031">
        <v>16</v>
      </c>
      <c r="G1031">
        <v>16</v>
      </c>
      <c r="H1031">
        <v>0</v>
      </c>
      <c r="I1031">
        <f t="shared" si="64"/>
        <v>0</v>
      </c>
      <c r="J1031">
        <f t="shared" si="65"/>
        <v>0</v>
      </c>
      <c r="K1031">
        <f t="shared" si="66"/>
        <v>0</v>
      </c>
      <c r="L1031">
        <f t="shared" si="67"/>
        <v>1</v>
      </c>
    </row>
    <row r="1032" spans="1:12" x14ac:dyDescent="0.25">
      <c r="A1032" t="s">
        <v>1178</v>
      </c>
      <c r="B1032" t="s">
        <v>246</v>
      </c>
      <c r="C1032">
        <v>4</v>
      </c>
      <c r="D1032">
        <v>8</v>
      </c>
      <c r="G1032">
        <v>12</v>
      </c>
      <c r="H1032">
        <v>0</v>
      </c>
      <c r="I1032">
        <f t="shared" si="64"/>
        <v>1</v>
      </c>
      <c r="J1032">
        <f t="shared" si="65"/>
        <v>0</v>
      </c>
      <c r="K1032">
        <f t="shared" si="66"/>
        <v>0</v>
      </c>
      <c r="L1032">
        <f t="shared" si="67"/>
        <v>1</v>
      </c>
    </row>
    <row r="1033" spans="1:12" x14ac:dyDescent="0.25">
      <c r="A1033" t="s">
        <v>1179</v>
      </c>
      <c r="B1033" t="s">
        <v>246</v>
      </c>
      <c r="C1033">
        <v>12</v>
      </c>
      <c r="D1033">
        <v>12</v>
      </c>
      <c r="G1033">
        <v>24</v>
      </c>
      <c r="H1033">
        <v>0</v>
      </c>
      <c r="I1033">
        <f t="shared" si="64"/>
        <v>1</v>
      </c>
      <c r="J1033">
        <f t="shared" si="65"/>
        <v>0</v>
      </c>
      <c r="K1033">
        <f t="shared" si="66"/>
        <v>0</v>
      </c>
      <c r="L1033">
        <f t="shared" si="67"/>
        <v>1</v>
      </c>
    </row>
    <row r="1034" spans="1:12" x14ac:dyDescent="0.25">
      <c r="A1034" t="s">
        <v>1180</v>
      </c>
      <c r="B1034" t="s">
        <v>246</v>
      </c>
      <c r="C1034">
        <v>7</v>
      </c>
      <c r="D1034">
        <v>5</v>
      </c>
      <c r="G1034">
        <v>12</v>
      </c>
      <c r="H1034">
        <v>0</v>
      </c>
      <c r="I1034">
        <f t="shared" si="64"/>
        <v>1</v>
      </c>
      <c r="J1034">
        <f t="shared" si="65"/>
        <v>0</v>
      </c>
      <c r="K1034">
        <f t="shared" si="66"/>
        <v>0</v>
      </c>
      <c r="L1034">
        <f t="shared" si="67"/>
        <v>1</v>
      </c>
    </row>
    <row r="1035" spans="1:12" x14ac:dyDescent="0.25">
      <c r="A1035" t="s">
        <v>1181</v>
      </c>
      <c r="B1035" t="s">
        <v>246</v>
      </c>
      <c r="C1035">
        <v>6</v>
      </c>
      <c r="D1035">
        <v>18</v>
      </c>
      <c r="G1035">
        <v>24</v>
      </c>
      <c r="H1035">
        <v>0</v>
      </c>
      <c r="I1035">
        <f t="shared" si="64"/>
        <v>1</v>
      </c>
      <c r="J1035">
        <f t="shared" si="65"/>
        <v>0</v>
      </c>
      <c r="K1035">
        <f t="shared" si="66"/>
        <v>0</v>
      </c>
      <c r="L1035">
        <f t="shared" si="67"/>
        <v>1</v>
      </c>
    </row>
    <row r="1036" spans="1:12" x14ac:dyDescent="0.25">
      <c r="A1036" t="s">
        <v>1182</v>
      </c>
      <c r="B1036" t="s">
        <v>246</v>
      </c>
      <c r="C1036">
        <v>16</v>
      </c>
      <c r="D1036">
        <v>12</v>
      </c>
      <c r="G1036">
        <v>28</v>
      </c>
      <c r="H1036">
        <v>0</v>
      </c>
      <c r="I1036">
        <f t="shared" si="64"/>
        <v>1</v>
      </c>
      <c r="J1036">
        <f t="shared" si="65"/>
        <v>0</v>
      </c>
      <c r="K1036">
        <f t="shared" si="66"/>
        <v>0</v>
      </c>
      <c r="L1036">
        <f t="shared" si="67"/>
        <v>1</v>
      </c>
    </row>
    <row r="1037" spans="1:12" x14ac:dyDescent="0.25">
      <c r="A1037" t="s">
        <v>1183</v>
      </c>
      <c r="B1037" t="s">
        <v>246</v>
      </c>
      <c r="C1037">
        <v>4</v>
      </c>
      <c r="D1037">
        <v>6</v>
      </c>
      <c r="G1037">
        <v>10</v>
      </c>
      <c r="H1037">
        <v>0</v>
      </c>
      <c r="I1037">
        <f t="shared" si="64"/>
        <v>1</v>
      </c>
      <c r="J1037">
        <f t="shared" si="65"/>
        <v>0</v>
      </c>
      <c r="K1037">
        <f t="shared" si="66"/>
        <v>0</v>
      </c>
      <c r="L1037">
        <f t="shared" si="67"/>
        <v>1</v>
      </c>
    </row>
    <row r="1038" spans="1:12" x14ac:dyDescent="0.25">
      <c r="A1038" t="s">
        <v>1184</v>
      </c>
      <c r="B1038" t="s">
        <v>246</v>
      </c>
      <c r="C1038">
        <v>0</v>
      </c>
      <c r="D1038">
        <v>12</v>
      </c>
      <c r="G1038">
        <v>12</v>
      </c>
      <c r="H1038">
        <v>0</v>
      </c>
      <c r="I1038">
        <f t="shared" si="64"/>
        <v>0</v>
      </c>
      <c r="J1038">
        <f t="shared" si="65"/>
        <v>0</v>
      </c>
      <c r="K1038">
        <f t="shared" si="66"/>
        <v>0</v>
      </c>
      <c r="L1038">
        <f t="shared" si="67"/>
        <v>1</v>
      </c>
    </row>
    <row r="1039" spans="1:12" x14ac:dyDescent="0.25">
      <c r="A1039" t="s">
        <v>1185</v>
      </c>
      <c r="B1039" t="s">
        <v>246</v>
      </c>
      <c r="C1039">
        <v>24</v>
      </c>
      <c r="D1039">
        <v>0</v>
      </c>
      <c r="G1039">
        <v>24</v>
      </c>
      <c r="H1039">
        <v>0</v>
      </c>
      <c r="I1039">
        <f t="shared" si="64"/>
        <v>1</v>
      </c>
      <c r="J1039">
        <f t="shared" si="65"/>
        <v>0</v>
      </c>
      <c r="K1039">
        <f t="shared" si="66"/>
        <v>0</v>
      </c>
      <c r="L1039">
        <f t="shared" si="67"/>
        <v>0</v>
      </c>
    </row>
    <row r="1040" spans="1:12" x14ac:dyDescent="0.25">
      <c r="A1040" t="s">
        <v>1186</v>
      </c>
      <c r="B1040" t="s">
        <v>246</v>
      </c>
      <c r="C1040">
        <v>12</v>
      </c>
      <c r="D1040">
        <v>26</v>
      </c>
      <c r="G1040">
        <v>38</v>
      </c>
      <c r="H1040">
        <v>0</v>
      </c>
      <c r="I1040">
        <f t="shared" si="64"/>
        <v>1</v>
      </c>
      <c r="J1040">
        <f t="shared" si="65"/>
        <v>0</v>
      </c>
      <c r="K1040">
        <f t="shared" si="66"/>
        <v>0</v>
      </c>
      <c r="L1040">
        <f t="shared" si="67"/>
        <v>1</v>
      </c>
    </row>
    <row r="1041" spans="1:12" x14ac:dyDescent="0.25">
      <c r="A1041" t="s">
        <v>1187</v>
      </c>
      <c r="B1041" t="s">
        <v>246</v>
      </c>
      <c r="C1041">
        <v>16</v>
      </c>
      <c r="D1041">
        <v>12</v>
      </c>
      <c r="G1041">
        <v>28</v>
      </c>
      <c r="H1041">
        <v>0</v>
      </c>
      <c r="I1041">
        <f t="shared" si="64"/>
        <v>1</v>
      </c>
      <c r="J1041">
        <f t="shared" si="65"/>
        <v>0</v>
      </c>
      <c r="K1041">
        <f t="shared" si="66"/>
        <v>0</v>
      </c>
      <c r="L1041">
        <f t="shared" si="67"/>
        <v>1</v>
      </c>
    </row>
    <row r="1042" spans="1:12" x14ac:dyDescent="0.25">
      <c r="A1042" t="s">
        <v>1188</v>
      </c>
      <c r="B1042" t="s">
        <v>246</v>
      </c>
      <c r="C1042">
        <v>6</v>
      </c>
      <c r="D1042">
        <v>0</v>
      </c>
      <c r="G1042">
        <v>6</v>
      </c>
      <c r="H1042">
        <v>0</v>
      </c>
      <c r="I1042">
        <f t="shared" si="64"/>
        <v>1</v>
      </c>
      <c r="J1042">
        <f t="shared" si="65"/>
        <v>0</v>
      </c>
      <c r="K1042">
        <f t="shared" si="66"/>
        <v>0</v>
      </c>
      <c r="L1042">
        <f t="shared" si="67"/>
        <v>0</v>
      </c>
    </row>
    <row r="1043" spans="1:12" x14ac:dyDescent="0.25">
      <c r="A1043" t="s">
        <v>1189</v>
      </c>
      <c r="B1043" t="s">
        <v>1190</v>
      </c>
      <c r="C1043">
        <v>2</v>
      </c>
      <c r="D1043">
        <v>10</v>
      </c>
      <c r="G1043">
        <v>12</v>
      </c>
      <c r="H1043">
        <v>0</v>
      </c>
      <c r="I1043">
        <f t="shared" si="64"/>
        <v>1</v>
      </c>
      <c r="J1043">
        <f t="shared" si="65"/>
        <v>0</v>
      </c>
      <c r="K1043">
        <f t="shared" si="66"/>
        <v>0</v>
      </c>
      <c r="L1043">
        <f t="shared" si="67"/>
        <v>1</v>
      </c>
    </row>
    <row r="1044" spans="1:12" x14ac:dyDescent="0.25">
      <c r="A1044" t="s">
        <v>1191</v>
      </c>
      <c r="B1044" t="s">
        <v>1190</v>
      </c>
      <c r="C1044">
        <v>10</v>
      </c>
      <c r="D1044">
        <v>16</v>
      </c>
      <c r="G1044">
        <v>26</v>
      </c>
      <c r="H1044">
        <v>0</v>
      </c>
      <c r="I1044">
        <f t="shared" si="64"/>
        <v>1</v>
      </c>
      <c r="J1044">
        <f t="shared" si="65"/>
        <v>0</v>
      </c>
      <c r="K1044">
        <f t="shared" si="66"/>
        <v>0</v>
      </c>
      <c r="L1044">
        <f t="shared" si="67"/>
        <v>1</v>
      </c>
    </row>
    <row r="1045" spans="1:12" x14ac:dyDescent="0.25">
      <c r="A1045" t="s">
        <v>1192</v>
      </c>
      <c r="B1045" t="s">
        <v>1190</v>
      </c>
      <c r="C1045">
        <v>6</v>
      </c>
      <c r="D1045">
        <v>0</v>
      </c>
      <c r="G1045">
        <v>6</v>
      </c>
      <c r="H1045">
        <v>0</v>
      </c>
      <c r="I1045">
        <f t="shared" si="64"/>
        <v>1</v>
      </c>
      <c r="J1045">
        <f t="shared" si="65"/>
        <v>0</v>
      </c>
      <c r="K1045">
        <f t="shared" si="66"/>
        <v>0</v>
      </c>
      <c r="L1045">
        <f t="shared" si="67"/>
        <v>0</v>
      </c>
    </row>
    <row r="1046" spans="1:12" x14ac:dyDescent="0.25">
      <c r="A1046" t="s">
        <v>1193</v>
      </c>
      <c r="B1046" t="s">
        <v>1190</v>
      </c>
      <c r="C1046">
        <v>6</v>
      </c>
      <c r="D1046">
        <v>6</v>
      </c>
      <c r="G1046">
        <v>12</v>
      </c>
      <c r="H1046">
        <v>0</v>
      </c>
      <c r="I1046">
        <f t="shared" si="64"/>
        <v>1</v>
      </c>
      <c r="J1046">
        <f t="shared" si="65"/>
        <v>0</v>
      </c>
      <c r="K1046">
        <f t="shared" si="66"/>
        <v>0</v>
      </c>
      <c r="L1046">
        <f t="shared" si="67"/>
        <v>1</v>
      </c>
    </row>
    <row r="1047" spans="1:12" x14ac:dyDescent="0.25">
      <c r="A1047" t="s">
        <v>1194</v>
      </c>
      <c r="B1047" t="s">
        <v>252</v>
      </c>
      <c r="C1047">
        <v>8</v>
      </c>
      <c r="D1047">
        <v>4</v>
      </c>
      <c r="G1047">
        <v>12</v>
      </c>
      <c r="H1047">
        <v>0</v>
      </c>
      <c r="I1047">
        <f t="shared" si="64"/>
        <v>1</v>
      </c>
      <c r="J1047">
        <f t="shared" si="65"/>
        <v>0</v>
      </c>
      <c r="K1047">
        <f t="shared" si="66"/>
        <v>0</v>
      </c>
      <c r="L1047">
        <f t="shared" si="67"/>
        <v>1</v>
      </c>
    </row>
    <row r="1048" spans="1:12" x14ac:dyDescent="0.25">
      <c r="A1048" t="s">
        <v>1195</v>
      </c>
      <c r="B1048" t="s">
        <v>252</v>
      </c>
      <c r="C1048">
        <v>24</v>
      </c>
      <c r="D1048">
        <v>20</v>
      </c>
      <c r="G1048">
        <v>44</v>
      </c>
      <c r="H1048">
        <v>0</v>
      </c>
      <c r="I1048">
        <f t="shared" si="64"/>
        <v>1</v>
      </c>
      <c r="J1048">
        <f t="shared" si="65"/>
        <v>0</v>
      </c>
      <c r="K1048">
        <f t="shared" si="66"/>
        <v>0</v>
      </c>
      <c r="L1048">
        <f t="shared" si="67"/>
        <v>1</v>
      </c>
    </row>
    <row r="1049" spans="1:12" x14ac:dyDescent="0.25">
      <c r="A1049" t="s">
        <v>1196</v>
      </c>
      <c r="B1049" t="s">
        <v>252</v>
      </c>
      <c r="C1049">
        <v>26</v>
      </c>
      <c r="D1049">
        <v>13</v>
      </c>
      <c r="G1049">
        <v>39</v>
      </c>
      <c r="H1049">
        <v>0</v>
      </c>
      <c r="I1049">
        <f t="shared" si="64"/>
        <v>1</v>
      </c>
      <c r="J1049">
        <f t="shared" si="65"/>
        <v>0</v>
      </c>
      <c r="K1049">
        <f t="shared" si="66"/>
        <v>0</v>
      </c>
      <c r="L1049">
        <f t="shared" si="67"/>
        <v>1</v>
      </c>
    </row>
    <row r="1050" spans="1:12" x14ac:dyDescent="0.25">
      <c r="A1050" t="s">
        <v>1197</v>
      </c>
      <c r="B1050" t="s">
        <v>252</v>
      </c>
      <c r="C1050">
        <v>26</v>
      </c>
      <c r="D1050">
        <v>26</v>
      </c>
      <c r="G1050">
        <v>52</v>
      </c>
      <c r="H1050">
        <v>0</v>
      </c>
      <c r="I1050">
        <f t="shared" si="64"/>
        <v>1</v>
      </c>
      <c r="J1050">
        <f t="shared" si="65"/>
        <v>0</v>
      </c>
      <c r="K1050">
        <f t="shared" si="66"/>
        <v>0</v>
      </c>
      <c r="L1050">
        <f t="shared" si="67"/>
        <v>1</v>
      </c>
    </row>
    <row r="1051" spans="1:12" x14ac:dyDescent="0.25">
      <c r="A1051" t="s">
        <v>1198</v>
      </c>
      <c r="B1051" t="s">
        <v>252</v>
      </c>
      <c r="C1051">
        <v>12</v>
      </c>
      <c r="D1051">
        <v>0</v>
      </c>
      <c r="G1051">
        <v>12</v>
      </c>
      <c r="H1051">
        <v>0</v>
      </c>
      <c r="I1051">
        <f t="shared" si="64"/>
        <v>1</v>
      </c>
      <c r="J1051">
        <f t="shared" si="65"/>
        <v>0</v>
      </c>
      <c r="K1051">
        <f t="shared" si="66"/>
        <v>0</v>
      </c>
      <c r="L1051">
        <f t="shared" si="67"/>
        <v>0</v>
      </c>
    </row>
    <row r="1052" spans="1:12" x14ac:dyDescent="0.25">
      <c r="A1052" t="s">
        <v>1199</v>
      </c>
      <c r="B1052" t="s">
        <v>252</v>
      </c>
      <c r="C1052">
        <v>10.5</v>
      </c>
      <c r="D1052">
        <v>0</v>
      </c>
      <c r="G1052">
        <v>10.5</v>
      </c>
      <c r="H1052">
        <v>0</v>
      </c>
      <c r="I1052">
        <f t="shared" si="64"/>
        <v>1</v>
      </c>
      <c r="J1052">
        <f t="shared" si="65"/>
        <v>0</v>
      </c>
      <c r="K1052">
        <f t="shared" si="66"/>
        <v>0</v>
      </c>
      <c r="L1052">
        <f t="shared" si="67"/>
        <v>0</v>
      </c>
    </row>
    <row r="1053" spans="1:12" x14ac:dyDescent="0.25">
      <c r="A1053" t="s">
        <v>1200</v>
      </c>
      <c r="B1053" t="s">
        <v>254</v>
      </c>
      <c r="C1053">
        <v>8</v>
      </c>
      <c r="E1053">
        <v>2</v>
      </c>
      <c r="G1053">
        <v>8</v>
      </c>
      <c r="H1053">
        <v>2</v>
      </c>
      <c r="I1053">
        <f t="shared" si="64"/>
        <v>1</v>
      </c>
      <c r="J1053">
        <f t="shared" si="65"/>
        <v>1</v>
      </c>
      <c r="K1053">
        <f t="shared" si="66"/>
        <v>0</v>
      </c>
      <c r="L1053">
        <f t="shared" si="67"/>
        <v>0</v>
      </c>
    </row>
    <row r="1054" spans="1:12" x14ac:dyDescent="0.25">
      <c r="A1054" t="s">
        <v>1201</v>
      </c>
      <c r="B1054" t="s">
        <v>254</v>
      </c>
      <c r="C1054">
        <v>13</v>
      </c>
      <c r="D1054">
        <v>1.5</v>
      </c>
      <c r="G1054">
        <v>14.5</v>
      </c>
      <c r="H1054">
        <v>0</v>
      </c>
      <c r="I1054">
        <f t="shared" si="64"/>
        <v>1</v>
      </c>
      <c r="J1054">
        <f t="shared" si="65"/>
        <v>0</v>
      </c>
      <c r="K1054">
        <f t="shared" si="66"/>
        <v>0</v>
      </c>
      <c r="L1054">
        <f t="shared" si="67"/>
        <v>1</v>
      </c>
    </row>
    <row r="1055" spans="1:12" x14ac:dyDescent="0.25">
      <c r="A1055" t="s">
        <v>1202</v>
      </c>
      <c r="B1055" t="s">
        <v>254</v>
      </c>
      <c r="C1055">
        <v>16</v>
      </c>
      <c r="D1055">
        <v>24</v>
      </c>
      <c r="G1055">
        <v>40</v>
      </c>
      <c r="H1055">
        <v>0</v>
      </c>
      <c r="I1055">
        <f t="shared" si="64"/>
        <v>1</v>
      </c>
      <c r="J1055">
        <f t="shared" si="65"/>
        <v>0</v>
      </c>
      <c r="K1055">
        <f t="shared" si="66"/>
        <v>0</v>
      </c>
      <c r="L1055">
        <f t="shared" si="67"/>
        <v>1</v>
      </c>
    </row>
    <row r="1056" spans="1:12" x14ac:dyDescent="0.25">
      <c r="A1056" t="s">
        <v>1203</v>
      </c>
      <c r="B1056" t="s">
        <v>254</v>
      </c>
      <c r="C1056">
        <v>12</v>
      </c>
      <c r="D1056">
        <v>26</v>
      </c>
      <c r="G1056">
        <v>38</v>
      </c>
      <c r="H1056">
        <v>0</v>
      </c>
      <c r="I1056">
        <f t="shared" si="64"/>
        <v>1</v>
      </c>
      <c r="J1056">
        <f t="shared" si="65"/>
        <v>0</v>
      </c>
      <c r="K1056">
        <f t="shared" si="66"/>
        <v>0</v>
      </c>
      <c r="L1056">
        <f t="shared" si="67"/>
        <v>1</v>
      </c>
    </row>
    <row r="1057" spans="1:12" x14ac:dyDescent="0.25">
      <c r="A1057" t="s">
        <v>1204</v>
      </c>
      <c r="B1057" t="s">
        <v>254</v>
      </c>
      <c r="C1057">
        <v>8</v>
      </c>
      <c r="D1057">
        <v>12</v>
      </c>
      <c r="G1057">
        <v>20</v>
      </c>
      <c r="H1057">
        <v>0</v>
      </c>
      <c r="I1057">
        <f t="shared" si="64"/>
        <v>1</v>
      </c>
      <c r="J1057">
        <f t="shared" si="65"/>
        <v>0</v>
      </c>
      <c r="K1057">
        <f t="shared" si="66"/>
        <v>0</v>
      </c>
      <c r="L1057">
        <f t="shared" si="67"/>
        <v>1</v>
      </c>
    </row>
    <row r="1058" spans="1:12" x14ac:dyDescent="0.25">
      <c r="A1058" t="s">
        <v>1205</v>
      </c>
      <c r="B1058" t="s">
        <v>50</v>
      </c>
      <c r="C1058">
        <v>26</v>
      </c>
      <c r="D1058">
        <v>0</v>
      </c>
      <c r="G1058">
        <v>26</v>
      </c>
      <c r="H1058">
        <v>0</v>
      </c>
      <c r="I1058">
        <f t="shared" si="64"/>
        <v>1</v>
      </c>
      <c r="J1058">
        <f t="shared" si="65"/>
        <v>0</v>
      </c>
      <c r="K1058">
        <f t="shared" si="66"/>
        <v>0</v>
      </c>
      <c r="L1058">
        <f t="shared" si="67"/>
        <v>0</v>
      </c>
    </row>
    <row r="1059" spans="1:12" x14ac:dyDescent="0.25">
      <c r="A1059" t="s">
        <v>1206</v>
      </c>
      <c r="B1059" t="s">
        <v>50</v>
      </c>
      <c r="C1059">
        <v>8</v>
      </c>
      <c r="D1059">
        <v>0</v>
      </c>
      <c r="G1059">
        <v>8</v>
      </c>
      <c r="H1059">
        <v>0</v>
      </c>
      <c r="I1059">
        <f t="shared" si="64"/>
        <v>1</v>
      </c>
      <c r="J1059">
        <f t="shared" si="65"/>
        <v>0</v>
      </c>
      <c r="K1059">
        <f t="shared" si="66"/>
        <v>0</v>
      </c>
      <c r="L1059">
        <f t="shared" si="67"/>
        <v>0</v>
      </c>
    </row>
    <row r="1060" spans="1:12" x14ac:dyDescent="0.25">
      <c r="A1060" t="s">
        <v>1207</v>
      </c>
      <c r="B1060" t="s">
        <v>256</v>
      </c>
      <c r="C1060">
        <v>6</v>
      </c>
      <c r="D1060">
        <v>12</v>
      </c>
      <c r="G1060">
        <v>18</v>
      </c>
      <c r="H1060">
        <v>0</v>
      </c>
      <c r="I1060">
        <f t="shared" si="64"/>
        <v>1</v>
      </c>
      <c r="J1060">
        <f t="shared" si="65"/>
        <v>0</v>
      </c>
      <c r="K1060">
        <f t="shared" si="66"/>
        <v>0</v>
      </c>
      <c r="L1060">
        <f t="shared" si="67"/>
        <v>1</v>
      </c>
    </row>
    <row r="1061" spans="1:12" x14ac:dyDescent="0.25">
      <c r="A1061" t="s">
        <v>1208</v>
      </c>
      <c r="B1061" t="s">
        <v>256</v>
      </c>
      <c r="C1061">
        <v>8</v>
      </c>
      <c r="D1061">
        <v>0</v>
      </c>
      <c r="G1061">
        <v>8</v>
      </c>
      <c r="H1061">
        <v>0</v>
      </c>
      <c r="I1061">
        <f t="shared" si="64"/>
        <v>1</v>
      </c>
      <c r="J1061">
        <f t="shared" si="65"/>
        <v>0</v>
      </c>
      <c r="K1061">
        <f t="shared" si="66"/>
        <v>0</v>
      </c>
      <c r="L1061">
        <f t="shared" si="67"/>
        <v>0</v>
      </c>
    </row>
    <row r="1062" spans="1:12" x14ac:dyDescent="0.25">
      <c r="A1062" t="s">
        <v>1209</v>
      </c>
      <c r="B1062" t="s">
        <v>256</v>
      </c>
      <c r="C1062">
        <v>8</v>
      </c>
      <c r="D1062">
        <v>0</v>
      </c>
      <c r="G1062">
        <v>8</v>
      </c>
      <c r="H1062">
        <v>0</v>
      </c>
      <c r="I1062">
        <f t="shared" si="64"/>
        <v>1</v>
      </c>
      <c r="J1062">
        <f t="shared" si="65"/>
        <v>0</v>
      </c>
      <c r="K1062">
        <f t="shared" si="66"/>
        <v>0</v>
      </c>
      <c r="L1062">
        <f t="shared" si="67"/>
        <v>0</v>
      </c>
    </row>
    <row r="1063" spans="1:12" x14ac:dyDescent="0.25">
      <c r="A1063" t="s">
        <v>1210</v>
      </c>
      <c r="B1063" t="s">
        <v>256</v>
      </c>
      <c r="C1063">
        <v>16</v>
      </c>
      <c r="D1063">
        <v>4</v>
      </c>
      <c r="G1063">
        <v>20</v>
      </c>
      <c r="H1063">
        <v>0</v>
      </c>
      <c r="I1063">
        <f t="shared" si="64"/>
        <v>1</v>
      </c>
      <c r="J1063">
        <f t="shared" si="65"/>
        <v>0</v>
      </c>
      <c r="K1063">
        <f t="shared" si="66"/>
        <v>0</v>
      </c>
      <c r="L1063">
        <f t="shared" si="67"/>
        <v>1</v>
      </c>
    </row>
    <row r="1064" spans="1:12" x14ac:dyDescent="0.25">
      <c r="A1064" t="s">
        <v>1211</v>
      </c>
      <c r="B1064" t="s">
        <v>256</v>
      </c>
      <c r="C1064">
        <v>6</v>
      </c>
      <c r="D1064">
        <v>6</v>
      </c>
      <c r="G1064">
        <v>12</v>
      </c>
      <c r="H1064">
        <v>0</v>
      </c>
      <c r="I1064">
        <f t="shared" si="64"/>
        <v>1</v>
      </c>
      <c r="J1064">
        <f t="shared" si="65"/>
        <v>0</v>
      </c>
      <c r="K1064">
        <f t="shared" si="66"/>
        <v>0</v>
      </c>
      <c r="L1064">
        <f t="shared" si="67"/>
        <v>1</v>
      </c>
    </row>
    <row r="1065" spans="1:12" x14ac:dyDescent="0.25">
      <c r="A1065" t="s">
        <v>1212</v>
      </c>
      <c r="B1065" t="s">
        <v>1213</v>
      </c>
      <c r="C1065">
        <v>12</v>
      </c>
      <c r="D1065">
        <v>0</v>
      </c>
      <c r="G1065">
        <v>12</v>
      </c>
      <c r="H1065">
        <v>0</v>
      </c>
      <c r="I1065">
        <f t="shared" si="64"/>
        <v>1</v>
      </c>
      <c r="J1065">
        <f t="shared" si="65"/>
        <v>0</v>
      </c>
      <c r="K1065">
        <f t="shared" si="66"/>
        <v>0</v>
      </c>
      <c r="L1065">
        <f t="shared" si="67"/>
        <v>0</v>
      </c>
    </row>
    <row r="1066" spans="1:12" x14ac:dyDescent="0.25">
      <c r="A1066" t="s">
        <v>1214</v>
      </c>
      <c r="B1066" t="s">
        <v>1213</v>
      </c>
      <c r="C1066">
        <v>8</v>
      </c>
      <c r="D1066">
        <v>0</v>
      </c>
      <c r="G1066">
        <v>8</v>
      </c>
      <c r="H1066">
        <v>0</v>
      </c>
      <c r="I1066">
        <f t="shared" si="64"/>
        <v>1</v>
      </c>
      <c r="J1066">
        <f t="shared" si="65"/>
        <v>0</v>
      </c>
      <c r="K1066">
        <f t="shared" si="66"/>
        <v>0</v>
      </c>
      <c r="L1066">
        <f t="shared" si="67"/>
        <v>0</v>
      </c>
    </row>
    <row r="1067" spans="1:12" x14ac:dyDescent="0.25">
      <c r="A1067" t="s">
        <v>1215</v>
      </c>
      <c r="B1067" t="s">
        <v>1213</v>
      </c>
      <c r="C1067">
        <v>11</v>
      </c>
      <c r="D1067">
        <v>12</v>
      </c>
      <c r="G1067">
        <v>23</v>
      </c>
      <c r="H1067">
        <v>0</v>
      </c>
      <c r="I1067">
        <f t="shared" si="64"/>
        <v>1</v>
      </c>
      <c r="J1067">
        <f t="shared" si="65"/>
        <v>0</v>
      </c>
      <c r="K1067">
        <f t="shared" si="66"/>
        <v>0</v>
      </c>
      <c r="L1067">
        <f t="shared" si="67"/>
        <v>1</v>
      </c>
    </row>
    <row r="1068" spans="1:12" x14ac:dyDescent="0.25">
      <c r="A1068" t="s">
        <v>1216</v>
      </c>
      <c r="B1068" t="s">
        <v>262</v>
      </c>
      <c r="C1068">
        <v>5</v>
      </c>
      <c r="D1068">
        <v>0</v>
      </c>
      <c r="G1068">
        <v>5</v>
      </c>
      <c r="H1068">
        <v>0</v>
      </c>
      <c r="I1068">
        <f t="shared" si="64"/>
        <v>1</v>
      </c>
      <c r="J1068">
        <f t="shared" si="65"/>
        <v>0</v>
      </c>
      <c r="K1068">
        <f t="shared" si="66"/>
        <v>0</v>
      </c>
      <c r="L1068">
        <f t="shared" si="67"/>
        <v>0</v>
      </c>
    </row>
    <row r="1069" spans="1:12" x14ac:dyDescent="0.25">
      <c r="A1069" t="s">
        <v>1217</v>
      </c>
      <c r="B1069" t="s">
        <v>262</v>
      </c>
      <c r="C1069">
        <v>6</v>
      </c>
      <c r="D1069">
        <v>6</v>
      </c>
      <c r="G1069">
        <v>12</v>
      </c>
      <c r="H1069">
        <v>0</v>
      </c>
      <c r="I1069">
        <f t="shared" si="64"/>
        <v>1</v>
      </c>
      <c r="J1069">
        <f t="shared" si="65"/>
        <v>0</v>
      </c>
      <c r="K1069">
        <f t="shared" si="66"/>
        <v>0</v>
      </c>
      <c r="L1069">
        <f t="shared" si="67"/>
        <v>1</v>
      </c>
    </row>
    <row r="1070" spans="1:12" x14ac:dyDescent="0.25">
      <c r="A1070" t="s">
        <v>1218</v>
      </c>
      <c r="B1070" t="s">
        <v>262</v>
      </c>
      <c r="C1070">
        <v>52</v>
      </c>
      <c r="D1070">
        <v>0</v>
      </c>
      <c r="G1070">
        <v>52</v>
      </c>
      <c r="H1070">
        <v>0</v>
      </c>
      <c r="I1070">
        <f t="shared" si="64"/>
        <v>1</v>
      </c>
      <c r="J1070">
        <f t="shared" si="65"/>
        <v>0</v>
      </c>
      <c r="K1070">
        <f t="shared" si="66"/>
        <v>0</v>
      </c>
      <c r="L1070">
        <f t="shared" si="67"/>
        <v>0</v>
      </c>
    </row>
    <row r="1071" spans="1:12" x14ac:dyDescent="0.25">
      <c r="A1071" t="s">
        <v>1219</v>
      </c>
      <c r="B1071" t="s">
        <v>1220</v>
      </c>
      <c r="C1071">
        <v>6</v>
      </c>
      <c r="D1071">
        <v>6</v>
      </c>
      <c r="G1071">
        <v>12</v>
      </c>
      <c r="H1071">
        <v>0</v>
      </c>
      <c r="I1071">
        <f t="shared" si="64"/>
        <v>1</v>
      </c>
      <c r="J1071">
        <f t="shared" si="65"/>
        <v>0</v>
      </c>
      <c r="K1071">
        <f t="shared" si="66"/>
        <v>0</v>
      </c>
      <c r="L1071">
        <f t="shared" si="67"/>
        <v>1</v>
      </c>
    </row>
    <row r="1072" spans="1:12" x14ac:dyDescent="0.25">
      <c r="A1072" t="s">
        <v>1221</v>
      </c>
      <c r="B1072" t="s">
        <v>1220</v>
      </c>
      <c r="C1072">
        <v>26</v>
      </c>
      <c r="D1072">
        <v>26</v>
      </c>
      <c r="G1072">
        <v>52</v>
      </c>
      <c r="H1072">
        <v>0</v>
      </c>
      <c r="I1072">
        <f t="shared" si="64"/>
        <v>1</v>
      </c>
      <c r="J1072">
        <f t="shared" si="65"/>
        <v>0</v>
      </c>
      <c r="K1072">
        <f t="shared" si="66"/>
        <v>0</v>
      </c>
      <c r="L1072">
        <f t="shared" si="67"/>
        <v>1</v>
      </c>
    </row>
    <row r="1073" spans="1:12" x14ac:dyDescent="0.25">
      <c r="A1073" t="s">
        <v>1222</v>
      </c>
      <c r="B1073" t="s">
        <v>1220</v>
      </c>
      <c r="C1073">
        <v>12</v>
      </c>
      <c r="D1073">
        <v>0</v>
      </c>
      <c r="G1073">
        <v>12</v>
      </c>
      <c r="H1073">
        <v>0</v>
      </c>
      <c r="I1073">
        <f t="shared" si="64"/>
        <v>1</v>
      </c>
      <c r="J1073">
        <f t="shared" si="65"/>
        <v>0</v>
      </c>
      <c r="K1073">
        <f t="shared" si="66"/>
        <v>0</v>
      </c>
      <c r="L1073">
        <f t="shared" si="67"/>
        <v>0</v>
      </c>
    </row>
    <row r="1074" spans="1:12" x14ac:dyDescent="0.25">
      <c r="A1074" t="s">
        <v>1223</v>
      </c>
      <c r="B1074" t="s">
        <v>1220</v>
      </c>
      <c r="C1074">
        <v>12</v>
      </c>
      <c r="D1074">
        <v>12</v>
      </c>
      <c r="G1074">
        <v>24</v>
      </c>
      <c r="H1074">
        <v>0</v>
      </c>
      <c r="I1074">
        <f t="shared" si="64"/>
        <v>1</v>
      </c>
      <c r="J1074">
        <f t="shared" si="65"/>
        <v>0</v>
      </c>
      <c r="K1074">
        <f t="shared" si="66"/>
        <v>0</v>
      </c>
      <c r="L1074">
        <f t="shared" si="67"/>
        <v>1</v>
      </c>
    </row>
    <row r="1075" spans="1:12" x14ac:dyDescent="0.25">
      <c r="A1075" t="s">
        <v>1224</v>
      </c>
      <c r="B1075" t="s">
        <v>1220</v>
      </c>
      <c r="C1075">
        <v>15</v>
      </c>
      <c r="D1075">
        <v>0</v>
      </c>
      <c r="G1075">
        <v>15</v>
      </c>
      <c r="H1075">
        <v>0</v>
      </c>
      <c r="I1075">
        <f t="shared" si="64"/>
        <v>1</v>
      </c>
      <c r="J1075">
        <f t="shared" si="65"/>
        <v>0</v>
      </c>
      <c r="K1075">
        <f t="shared" si="66"/>
        <v>0</v>
      </c>
      <c r="L1075">
        <f t="shared" si="67"/>
        <v>0</v>
      </c>
    </row>
    <row r="1076" spans="1:12" x14ac:dyDescent="0.25">
      <c r="A1076" t="s">
        <v>1225</v>
      </c>
      <c r="B1076" t="s">
        <v>1220</v>
      </c>
      <c r="C1076">
        <v>0</v>
      </c>
      <c r="D1076">
        <v>0</v>
      </c>
      <c r="G1076">
        <v>0</v>
      </c>
      <c r="H1076">
        <v>0</v>
      </c>
      <c r="I1076">
        <f t="shared" si="64"/>
        <v>0</v>
      </c>
      <c r="J1076">
        <f t="shared" si="65"/>
        <v>0</v>
      </c>
      <c r="K1076">
        <f t="shared" si="66"/>
        <v>0</v>
      </c>
      <c r="L1076">
        <f t="shared" si="67"/>
        <v>0</v>
      </c>
    </row>
    <row r="1077" spans="1:12" x14ac:dyDescent="0.25">
      <c r="A1077" t="s">
        <v>1226</v>
      </c>
      <c r="B1077" t="s">
        <v>1220</v>
      </c>
      <c r="C1077">
        <v>2</v>
      </c>
      <c r="D1077">
        <v>20</v>
      </c>
      <c r="G1077">
        <v>22</v>
      </c>
      <c r="H1077">
        <v>0</v>
      </c>
      <c r="I1077">
        <f t="shared" si="64"/>
        <v>1</v>
      </c>
      <c r="J1077">
        <f t="shared" si="65"/>
        <v>0</v>
      </c>
      <c r="K1077">
        <f t="shared" si="66"/>
        <v>0</v>
      </c>
      <c r="L1077">
        <f t="shared" si="67"/>
        <v>1</v>
      </c>
    </row>
    <row r="1078" spans="1:12" x14ac:dyDescent="0.25">
      <c r="A1078" t="s">
        <v>1227</v>
      </c>
      <c r="B1078" t="s">
        <v>1220</v>
      </c>
      <c r="C1078">
        <v>52</v>
      </c>
      <c r="D1078">
        <v>2</v>
      </c>
      <c r="G1078">
        <v>54</v>
      </c>
      <c r="H1078">
        <v>0</v>
      </c>
      <c r="I1078">
        <f t="shared" si="64"/>
        <v>1</v>
      </c>
      <c r="J1078">
        <f t="shared" si="65"/>
        <v>0</v>
      </c>
      <c r="K1078">
        <f t="shared" si="66"/>
        <v>0</v>
      </c>
      <c r="L1078">
        <f t="shared" si="67"/>
        <v>1</v>
      </c>
    </row>
    <row r="1079" spans="1:12" x14ac:dyDescent="0.25">
      <c r="A1079" t="s">
        <v>1228</v>
      </c>
      <c r="B1079" t="s">
        <v>1229</v>
      </c>
      <c r="C1079">
        <v>16</v>
      </c>
      <c r="D1079">
        <v>0</v>
      </c>
      <c r="G1079">
        <v>16</v>
      </c>
      <c r="H1079">
        <v>0</v>
      </c>
      <c r="I1079">
        <f t="shared" si="64"/>
        <v>1</v>
      </c>
      <c r="J1079">
        <f t="shared" si="65"/>
        <v>0</v>
      </c>
      <c r="K1079">
        <f t="shared" si="66"/>
        <v>0</v>
      </c>
      <c r="L1079">
        <f t="shared" si="67"/>
        <v>0</v>
      </c>
    </row>
    <row r="1080" spans="1:12" x14ac:dyDescent="0.25">
      <c r="A1080" t="s">
        <v>1230</v>
      </c>
      <c r="B1080" t="s">
        <v>264</v>
      </c>
      <c r="C1080">
        <v>12</v>
      </c>
      <c r="D1080">
        <v>4</v>
      </c>
      <c r="G1080">
        <v>16</v>
      </c>
      <c r="H1080">
        <v>0</v>
      </c>
      <c r="I1080">
        <f t="shared" si="64"/>
        <v>1</v>
      </c>
      <c r="J1080">
        <f t="shared" si="65"/>
        <v>0</v>
      </c>
      <c r="K1080">
        <f t="shared" si="66"/>
        <v>0</v>
      </c>
      <c r="L1080">
        <f t="shared" si="67"/>
        <v>1</v>
      </c>
    </row>
    <row r="1081" spans="1:12" x14ac:dyDescent="0.25">
      <c r="A1081" t="s">
        <v>1231</v>
      </c>
      <c r="B1081" t="s">
        <v>264</v>
      </c>
      <c r="C1081">
        <v>24</v>
      </c>
      <c r="E1081">
        <v>24</v>
      </c>
      <c r="G1081">
        <v>24</v>
      </c>
      <c r="H1081">
        <v>24</v>
      </c>
      <c r="I1081">
        <f t="shared" si="64"/>
        <v>1</v>
      </c>
      <c r="J1081">
        <f t="shared" si="65"/>
        <v>1</v>
      </c>
      <c r="K1081">
        <f t="shared" si="66"/>
        <v>0</v>
      </c>
      <c r="L1081">
        <f t="shared" si="67"/>
        <v>0</v>
      </c>
    </row>
    <row r="1082" spans="1:12" x14ac:dyDescent="0.25">
      <c r="A1082" t="s">
        <v>1232</v>
      </c>
      <c r="B1082" t="s">
        <v>264</v>
      </c>
      <c r="C1082">
        <v>12</v>
      </c>
      <c r="D1082">
        <v>0</v>
      </c>
      <c r="G1082">
        <v>12</v>
      </c>
      <c r="H1082">
        <v>0</v>
      </c>
      <c r="I1082">
        <f t="shared" si="64"/>
        <v>1</v>
      </c>
      <c r="J1082">
        <f t="shared" si="65"/>
        <v>0</v>
      </c>
      <c r="K1082">
        <f t="shared" si="66"/>
        <v>0</v>
      </c>
      <c r="L1082">
        <f t="shared" si="67"/>
        <v>0</v>
      </c>
    </row>
    <row r="1083" spans="1:12" x14ac:dyDescent="0.25">
      <c r="A1083" t="s">
        <v>1233</v>
      </c>
      <c r="B1083" t="s">
        <v>264</v>
      </c>
      <c r="C1083">
        <v>12</v>
      </c>
      <c r="D1083">
        <v>0</v>
      </c>
      <c r="G1083">
        <v>12</v>
      </c>
      <c r="H1083">
        <v>0</v>
      </c>
      <c r="I1083">
        <f t="shared" si="64"/>
        <v>1</v>
      </c>
      <c r="J1083">
        <f t="shared" si="65"/>
        <v>0</v>
      </c>
      <c r="K1083">
        <f t="shared" si="66"/>
        <v>0</v>
      </c>
      <c r="L1083">
        <f t="shared" si="67"/>
        <v>0</v>
      </c>
    </row>
    <row r="1084" spans="1:12" x14ac:dyDescent="0.25">
      <c r="A1084" t="s">
        <v>1234</v>
      </c>
      <c r="B1084" t="s">
        <v>1235</v>
      </c>
      <c r="C1084">
        <v>8</v>
      </c>
      <c r="D1084">
        <v>16</v>
      </c>
      <c r="G1084">
        <v>24</v>
      </c>
      <c r="H1084">
        <v>0</v>
      </c>
      <c r="I1084">
        <f t="shared" si="64"/>
        <v>1</v>
      </c>
      <c r="J1084">
        <f t="shared" si="65"/>
        <v>0</v>
      </c>
      <c r="K1084">
        <f t="shared" si="66"/>
        <v>0</v>
      </c>
      <c r="L1084">
        <f t="shared" si="67"/>
        <v>1</v>
      </c>
    </row>
    <row r="1085" spans="1:12" x14ac:dyDescent="0.25">
      <c r="A1085" t="s">
        <v>1236</v>
      </c>
      <c r="B1085" t="s">
        <v>1235</v>
      </c>
      <c r="C1085">
        <v>15</v>
      </c>
      <c r="D1085">
        <v>9</v>
      </c>
      <c r="G1085">
        <v>24</v>
      </c>
      <c r="H1085">
        <v>0</v>
      </c>
      <c r="I1085">
        <f t="shared" si="64"/>
        <v>1</v>
      </c>
      <c r="J1085">
        <f t="shared" si="65"/>
        <v>0</v>
      </c>
      <c r="K1085">
        <f t="shared" si="66"/>
        <v>0</v>
      </c>
      <c r="L1085">
        <f t="shared" si="67"/>
        <v>1</v>
      </c>
    </row>
    <row r="1086" spans="1:12" x14ac:dyDescent="0.25">
      <c r="A1086" t="s">
        <v>1237</v>
      </c>
      <c r="B1086" t="s">
        <v>1235</v>
      </c>
      <c r="C1086">
        <v>6</v>
      </c>
      <c r="D1086">
        <v>6</v>
      </c>
      <c r="G1086">
        <v>12</v>
      </c>
      <c r="H1086">
        <v>0</v>
      </c>
      <c r="I1086">
        <f t="shared" si="64"/>
        <v>1</v>
      </c>
      <c r="J1086">
        <f t="shared" si="65"/>
        <v>0</v>
      </c>
      <c r="K1086">
        <f t="shared" si="66"/>
        <v>0</v>
      </c>
      <c r="L1086">
        <f t="shared" si="67"/>
        <v>1</v>
      </c>
    </row>
    <row r="1087" spans="1:12" x14ac:dyDescent="0.25">
      <c r="A1087" t="s">
        <v>1238</v>
      </c>
      <c r="B1087" t="s">
        <v>1239</v>
      </c>
      <c r="C1087">
        <v>12</v>
      </c>
      <c r="D1087">
        <v>0</v>
      </c>
      <c r="G1087">
        <v>12</v>
      </c>
      <c r="H1087">
        <v>0</v>
      </c>
      <c r="I1087">
        <f t="shared" si="64"/>
        <v>1</v>
      </c>
      <c r="J1087">
        <f t="shared" si="65"/>
        <v>0</v>
      </c>
      <c r="K1087">
        <f t="shared" si="66"/>
        <v>0</v>
      </c>
      <c r="L1087">
        <f t="shared" si="67"/>
        <v>0</v>
      </c>
    </row>
    <row r="1088" spans="1:12" x14ac:dyDescent="0.25">
      <c r="A1088" t="s">
        <v>1240</v>
      </c>
      <c r="B1088" t="s">
        <v>1239</v>
      </c>
      <c r="C1088">
        <v>26</v>
      </c>
      <c r="D1088">
        <v>12</v>
      </c>
      <c r="G1088">
        <v>38</v>
      </c>
      <c r="H1088">
        <v>0</v>
      </c>
      <c r="I1088">
        <f t="shared" si="64"/>
        <v>1</v>
      </c>
      <c r="J1088">
        <f t="shared" si="65"/>
        <v>0</v>
      </c>
      <c r="K1088">
        <f t="shared" si="66"/>
        <v>0</v>
      </c>
      <c r="L1088">
        <f t="shared" si="67"/>
        <v>1</v>
      </c>
    </row>
    <row r="1089" spans="1:12" x14ac:dyDescent="0.25">
      <c r="A1089" t="s">
        <v>1241</v>
      </c>
      <c r="B1089" t="s">
        <v>1242</v>
      </c>
      <c r="C1089">
        <v>4</v>
      </c>
      <c r="D1089">
        <v>0</v>
      </c>
      <c r="G1089">
        <v>4</v>
      </c>
      <c r="H1089">
        <v>0</v>
      </c>
      <c r="I1089">
        <f t="shared" si="64"/>
        <v>1</v>
      </c>
      <c r="J1089">
        <f t="shared" si="65"/>
        <v>0</v>
      </c>
      <c r="K1089">
        <f t="shared" si="66"/>
        <v>0</v>
      </c>
      <c r="L1089">
        <f t="shared" si="67"/>
        <v>0</v>
      </c>
    </row>
    <row r="1090" spans="1:12" x14ac:dyDescent="0.25">
      <c r="A1090" t="s">
        <v>1243</v>
      </c>
      <c r="B1090" t="s">
        <v>1242</v>
      </c>
      <c r="C1090">
        <v>12</v>
      </c>
      <c r="D1090">
        <v>0</v>
      </c>
      <c r="G1090">
        <v>12</v>
      </c>
      <c r="H1090">
        <v>0</v>
      </c>
      <c r="I1090">
        <f t="shared" si="64"/>
        <v>1</v>
      </c>
      <c r="J1090">
        <f t="shared" si="65"/>
        <v>0</v>
      </c>
      <c r="K1090">
        <f t="shared" si="66"/>
        <v>0</v>
      </c>
      <c r="L1090">
        <f t="shared" si="67"/>
        <v>0</v>
      </c>
    </row>
    <row r="1091" spans="1:12" x14ac:dyDescent="0.25">
      <c r="A1091" t="s">
        <v>1244</v>
      </c>
      <c r="B1091" t="s">
        <v>1242</v>
      </c>
      <c r="C1091">
        <v>6</v>
      </c>
      <c r="D1091">
        <v>6</v>
      </c>
      <c r="G1091">
        <v>12</v>
      </c>
      <c r="H1091">
        <v>0</v>
      </c>
      <c r="I1091">
        <f t="shared" ref="I1091:I1154" si="68">IF(C1091&gt;0, 1, 0)</f>
        <v>1</v>
      </c>
      <c r="J1091">
        <f t="shared" ref="J1091:J1154" si="69">IF(E1091&gt;0, 1,0)</f>
        <v>0</v>
      </c>
      <c r="K1091">
        <f t="shared" ref="K1091:K1154" si="70">IF(F1091&gt;0, 1, 0)</f>
        <v>0</v>
      </c>
      <c r="L1091">
        <f t="shared" ref="L1091:L1154" si="71">IF(D1091&gt;0, 1, 0)</f>
        <v>1</v>
      </c>
    </row>
    <row r="1092" spans="1:12" x14ac:dyDescent="0.25">
      <c r="A1092" t="s">
        <v>1245</v>
      </c>
      <c r="B1092" t="s">
        <v>1242</v>
      </c>
      <c r="C1092">
        <v>4</v>
      </c>
      <c r="D1092">
        <v>4</v>
      </c>
      <c r="G1092">
        <v>8</v>
      </c>
      <c r="H1092">
        <v>0</v>
      </c>
      <c r="I1092">
        <f t="shared" si="68"/>
        <v>1</v>
      </c>
      <c r="J1092">
        <f t="shared" si="69"/>
        <v>0</v>
      </c>
      <c r="K1092">
        <f t="shared" si="70"/>
        <v>0</v>
      </c>
      <c r="L1092">
        <f t="shared" si="71"/>
        <v>1</v>
      </c>
    </row>
    <row r="1093" spans="1:12" x14ac:dyDescent="0.25">
      <c r="A1093" t="s">
        <v>1246</v>
      </c>
      <c r="B1093" t="s">
        <v>1242</v>
      </c>
      <c r="C1093">
        <v>6</v>
      </c>
      <c r="D1093">
        <v>6</v>
      </c>
      <c r="G1093">
        <v>12</v>
      </c>
      <c r="H1093">
        <v>0</v>
      </c>
      <c r="I1093">
        <f t="shared" si="68"/>
        <v>1</v>
      </c>
      <c r="J1093">
        <f t="shared" si="69"/>
        <v>0</v>
      </c>
      <c r="K1093">
        <f t="shared" si="70"/>
        <v>0</v>
      </c>
      <c r="L1093">
        <f t="shared" si="71"/>
        <v>1</v>
      </c>
    </row>
    <row r="1094" spans="1:12" x14ac:dyDescent="0.25">
      <c r="A1094" t="s">
        <v>1247</v>
      </c>
      <c r="B1094" t="s">
        <v>1242</v>
      </c>
      <c r="C1094">
        <v>0</v>
      </c>
      <c r="D1094">
        <v>12</v>
      </c>
      <c r="G1094">
        <v>12</v>
      </c>
      <c r="H1094">
        <v>0</v>
      </c>
      <c r="I1094">
        <f t="shared" si="68"/>
        <v>0</v>
      </c>
      <c r="J1094">
        <f t="shared" si="69"/>
        <v>0</v>
      </c>
      <c r="K1094">
        <f t="shared" si="70"/>
        <v>0</v>
      </c>
      <c r="L1094">
        <f t="shared" si="71"/>
        <v>1</v>
      </c>
    </row>
    <row r="1095" spans="1:12" x14ac:dyDescent="0.25">
      <c r="A1095" t="s">
        <v>1248</v>
      </c>
      <c r="B1095" t="s">
        <v>1249</v>
      </c>
      <c r="C1095">
        <v>8</v>
      </c>
      <c r="D1095">
        <v>8</v>
      </c>
      <c r="G1095">
        <v>16</v>
      </c>
      <c r="H1095">
        <v>0</v>
      </c>
      <c r="I1095">
        <f t="shared" si="68"/>
        <v>1</v>
      </c>
      <c r="J1095">
        <f t="shared" si="69"/>
        <v>0</v>
      </c>
      <c r="K1095">
        <f t="shared" si="70"/>
        <v>0</v>
      </c>
      <c r="L1095">
        <f t="shared" si="71"/>
        <v>1</v>
      </c>
    </row>
    <row r="1096" spans="1:12" x14ac:dyDescent="0.25">
      <c r="A1096" t="s">
        <v>1250</v>
      </c>
      <c r="B1096" t="s">
        <v>1251</v>
      </c>
      <c r="C1096">
        <v>12</v>
      </c>
      <c r="D1096">
        <v>12</v>
      </c>
      <c r="G1096">
        <v>24</v>
      </c>
      <c r="H1096">
        <v>0</v>
      </c>
      <c r="I1096">
        <f t="shared" si="68"/>
        <v>1</v>
      </c>
      <c r="J1096">
        <f t="shared" si="69"/>
        <v>0</v>
      </c>
      <c r="K1096">
        <f t="shared" si="70"/>
        <v>0</v>
      </c>
      <c r="L1096">
        <f t="shared" si="71"/>
        <v>1</v>
      </c>
    </row>
    <row r="1097" spans="1:12" x14ac:dyDescent="0.25">
      <c r="A1097" t="s">
        <v>1252</v>
      </c>
      <c r="B1097" t="s">
        <v>1251</v>
      </c>
      <c r="C1097">
        <v>12</v>
      </c>
      <c r="D1097">
        <v>52</v>
      </c>
      <c r="G1097">
        <v>64</v>
      </c>
      <c r="H1097">
        <v>0</v>
      </c>
      <c r="I1097">
        <f t="shared" si="68"/>
        <v>1</v>
      </c>
      <c r="J1097">
        <f t="shared" si="69"/>
        <v>0</v>
      </c>
      <c r="K1097">
        <f t="shared" si="70"/>
        <v>0</v>
      </c>
      <c r="L1097">
        <f t="shared" si="71"/>
        <v>1</v>
      </c>
    </row>
    <row r="1098" spans="1:12" x14ac:dyDescent="0.25">
      <c r="A1098" t="s">
        <v>1253</v>
      </c>
      <c r="B1098" t="s">
        <v>1254</v>
      </c>
      <c r="C1098">
        <v>12</v>
      </c>
      <c r="D1098">
        <v>4</v>
      </c>
      <c r="G1098">
        <v>16</v>
      </c>
      <c r="H1098">
        <v>0</v>
      </c>
      <c r="I1098">
        <f t="shared" si="68"/>
        <v>1</v>
      </c>
      <c r="J1098">
        <f t="shared" si="69"/>
        <v>0</v>
      </c>
      <c r="K1098">
        <f t="shared" si="70"/>
        <v>0</v>
      </c>
      <c r="L1098">
        <f t="shared" si="71"/>
        <v>1</v>
      </c>
    </row>
    <row r="1099" spans="1:12" x14ac:dyDescent="0.25">
      <c r="A1099" t="s">
        <v>1255</v>
      </c>
      <c r="B1099" t="s">
        <v>1254</v>
      </c>
      <c r="C1099">
        <v>6</v>
      </c>
      <c r="D1099">
        <v>6</v>
      </c>
      <c r="G1099">
        <v>12</v>
      </c>
      <c r="H1099">
        <v>0</v>
      </c>
      <c r="I1099">
        <f t="shared" si="68"/>
        <v>1</v>
      </c>
      <c r="J1099">
        <f t="shared" si="69"/>
        <v>0</v>
      </c>
      <c r="K1099">
        <f t="shared" si="70"/>
        <v>0</v>
      </c>
      <c r="L1099">
        <f t="shared" si="71"/>
        <v>1</v>
      </c>
    </row>
    <row r="1100" spans="1:12" x14ac:dyDescent="0.25">
      <c r="A1100" t="s">
        <v>1256</v>
      </c>
      <c r="B1100" t="s">
        <v>1257</v>
      </c>
      <c r="C1100">
        <v>12</v>
      </c>
      <c r="D1100">
        <v>0</v>
      </c>
      <c r="G1100">
        <v>12</v>
      </c>
      <c r="H1100">
        <v>0</v>
      </c>
      <c r="I1100">
        <f t="shared" si="68"/>
        <v>1</v>
      </c>
      <c r="J1100">
        <f t="shared" si="69"/>
        <v>0</v>
      </c>
      <c r="K1100">
        <f t="shared" si="70"/>
        <v>0</v>
      </c>
      <c r="L1100">
        <f t="shared" si="71"/>
        <v>0</v>
      </c>
    </row>
    <row r="1101" spans="1:12" x14ac:dyDescent="0.25">
      <c r="A1101" t="s">
        <v>1258</v>
      </c>
      <c r="B1101" t="s">
        <v>1259</v>
      </c>
      <c r="C1101">
        <v>4</v>
      </c>
      <c r="D1101">
        <v>12</v>
      </c>
      <c r="G1101">
        <v>16</v>
      </c>
      <c r="H1101">
        <v>0</v>
      </c>
      <c r="I1101">
        <f t="shared" si="68"/>
        <v>1</v>
      </c>
      <c r="J1101">
        <f t="shared" si="69"/>
        <v>0</v>
      </c>
      <c r="K1101">
        <f t="shared" si="70"/>
        <v>0</v>
      </c>
      <c r="L1101">
        <f t="shared" si="71"/>
        <v>1</v>
      </c>
    </row>
    <row r="1102" spans="1:12" x14ac:dyDescent="0.25">
      <c r="A1102" t="s">
        <v>1260</v>
      </c>
      <c r="B1102" t="s">
        <v>1261</v>
      </c>
      <c r="C1102">
        <v>1</v>
      </c>
      <c r="D1102">
        <v>12</v>
      </c>
      <c r="G1102">
        <v>13</v>
      </c>
      <c r="H1102">
        <v>0</v>
      </c>
      <c r="I1102">
        <f t="shared" si="68"/>
        <v>1</v>
      </c>
      <c r="J1102">
        <f t="shared" si="69"/>
        <v>0</v>
      </c>
      <c r="K1102">
        <f t="shared" si="70"/>
        <v>0</v>
      </c>
      <c r="L1102">
        <f t="shared" si="71"/>
        <v>1</v>
      </c>
    </row>
    <row r="1103" spans="1:12" x14ac:dyDescent="0.25">
      <c r="A1103" t="s">
        <v>1262</v>
      </c>
      <c r="B1103" t="s">
        <v>1261</v>
      </c>
      <c r="C1103">
        <v>8</v>
      </c>
      <c r="D1103">
        <v>4</v>
      </c>
      <c r="G1103">
        <v>12</v>
      </c>
      <c r="H1103">
        <v>0</v>
      </c>
      <c r="I1103">
        <f t="shared" si="68"/>
        <v>1</v>
      </c>
      <c r="J1103">
        <f t="shared" si="69"/>
        <v>0</v>
      </c>
      <c r="K1103">
        <f t="shared" si="70"/>
        <v>0</v>
      </c>
      <c r="L1103">
        <f t="shared" si="71"/>
        <v>1</v>
      </c>
    </row>
    <row r="1104" spans="1:12" x14ac:dyDescent="0.25">
      <c r="A1104" t="s">
        <v>1263</v>
      </c>
      <c r="B1104" t="s">
        <v>1264</v>
      </c>
      <c r="C1104">
        <v>12</v>
      </c>
      <c r="D1104">
        <v>6</v>
      </c>
      <c r="G1104">
        <v>18</v>
      </c>
      <c r="H1104">
        <v>0</v>
      </c>
      <c r="I1104">
        <f t="shared" si="68"/>
        <v>1</v>
      </c>
      <c r="J1104">
        <f t="shared" si="69"/>
        <v>0</v>
      </c>
      <c r="K1104">
        <f t="shared" si="70"/>
        <v>0</v>
      </c>
      <c r="L1104">
        <f t="shared" si="71"/>
        <v>1</v>
      </c>
    </row>
    <row r="1105" spans="1:12" x14ac:dyDescent="0.25">
      <c r="A1105" t="s">
        <v>1265</v>
      </c>
      <c r="B1105" t="s">
        <v>52</v>
      </c>
      <c r="C1105">
        <v>12</v>
      </c>
      <c r="D1105">
        <v>12</v>
      </c>
      <c r="G1105">
        <v>24</v>
      </c>
      <c r="H1105">
        <v>0</v>
      </c>
      <c r="I1105">
        <f t="shared" si="68"/>
        <v>1</v>
      </c>
      <c r="J1105">
        <f t="shared" si="69"/>
        <v>0</v>
      </c>
      <c r="K1105">
        <f t="shared" si="70"/>
        <v>0</v>
      </c>
      <c r="L1105">
        <f t="shared" si="71"/>
        <v>1</v>
      </c>
    </row>
    <row r="1106" spans="1:12" x14ac:dyDescent="0.25">
      <c r="A1106" t="s">
        <v>1266</v>
      </c>
      <c r="B1106" t="s">
        <v>270</v>
      </c>
      <c r="C1106">
        <v>6</v>
      </c>
      <c r="D1106">
        <v>0</v>
      </c>
      <c r="G1106">
        <v>6</v>
      </c>
      <c r="H1106">
        <v>0</v>
      </c>
      <c r="I1106">
        <f t="shared" si="68"/>
        <v>1</v>
      </c>
      <c r="J1106">
        <f t="shared" si="69"/>
        <v>0</v>
      </c>
      <c r="K1106">
        <f t="shared" si="70"/>
        <v>0</v>
      </c>
      <c r="L1106">
        <f t="shared" si="71"/>
        <v>0</v>
      </c>
    </row>
    <row r="1107" spans="1:12" x14ac:dyDescent="0.25">
      <c r="A1107" t="s">
        <v>1267</v>
      </c>
      <c r="B1107" t="s">
        <v>270</v>
      </c>
      <c r="C1107">
        <v>12</v>
      </c>
      <c r="D1107">
        <v>0</v>
      </c>
      <c r="G1107">
        <v>12</v>
      </c>
      <c r="H1107">
        <v>0</v>
      </c>
      <c r="I1107">
        <f t="shared" si="68"/>
        <v>1</v>
      </c>
      <c r="J1107">
        <f t="shared" si="69"/>
        <v>0</v>
      </c>
      <c r="K1107">
        <f t="shared" si="70"/>
        <v>0</v>
      </c>
      <c r="L1107">
        <f t="shared" si="71"/>
        <v>0</v>
      </c>
    </row>
    <row r="1108" spans="1:12" x14ac:dyDescent="0.25">
      <c r="A1108" t="s">
        <v>1268</v>
      </c>
      <c r="B1108" t="s">
        <v>270</v>
      </c>
      <c r="C1108">
        <v>12</v>
      </c>
      <c r="D1108">
        <v>0</v>
      </c>
      <c r="G1108">
        <v>12</v>
      </c>
      <c r="H1108">
        <v>0</v>
      </c>
      <c r="I1108">
        <f t="shared" si="68"/>
        <v>1</v>
      </c>
      <c r="J1108">
        <f t="shared" si="69"/>
        <v>0</v>
      </c>
      <c r="K1108">
        <f t="shared" si="70"/>
        <v>0</v>
      </c>
      <c r="L1108">
        <f t="shared" si="71"/>
        <v>0</v>
      </c>
    </row>
    <row r="1109" spans="1:12" x14ac:dyDescent="0.25">
      <c r="A1109" t="s">
        <v>1269</v>
      </c>
      <c r="B1109" t="s">
        <v>270</v>
      </c>
      <c r="C1109">
        <v>16</v>
      </c>
      <c r="D1109">
        <v>0</v>
      </c>
      <c r="G1109">
        <v>16</v>
      </c>
      <c r="H1109">
        <v>0</v>
      </c>
      <c r="I1109">
        <f t="shared" si="68"/>
        <v>1</v>
      </c>
      <c r="J1109">
        <f t="shared" si="69"/>
        <v>0</v>
      </c>
      <c r="K1109">
        <f t="shared" si="70"/>
        <v>0</v>
      </c>
      <c r="L1109">
        <f t="shared" si="71"/>
        <v>0</v>
      </c>
    </row>
    <row r="1110" spans="1:12" x14ac:dyDescent="0.25">
      <c r="A1110" t="s">
        <v>1270</v>
      </c>
      <c r="B1110" t="s">
        <v>270</v>
      </c>
      <c r="C1110">
        <v>6</v>
      </c>
      <c r="D1110">
        <v>6</v>
      </c>
      <c r="G1110">
        <v>12</v>
      </c>
      <c r="H1110">
        <v>0</v>
      </c>
      <c r="I1110">
        <f t="shared" si="68"/>
        <v>1</v>
      </c>
      <c r="J1110">
        <f t="shared" si="69"/>
        <v>0</v>
      </c>
      <c r="K1110">
        <f t="shared" si="70"/>
        <v>0</v>
      </c>
      <c r="L1110">
        <f t="shared" si="71"/>
        <v>1</v>
      </c>
    </row>
    <row r="1111" spans="1:12" x14ac:dyDescent="0.25">
      <c r="A1111" t="s">
        <v>1271</v>
      </c>
      <c r="B1111" t="s">
        <v>270</v>
      </c>
      <c r="C1111">
        <v>3</v>
      </c>
      <c r="D1111">
        <v>9</v>
      </c>
      <c r="G1111">
        <v>12</v>
      </c>
      <c r="H1111">
        <v>0</v>
      </c>
      <c r="I1111">
        <f t="shared" si="68"/>
        <v>1</v>
      </c>
      <c r="J1111">
        <f t="shared" si="69"/>
        <v>0</v>
      </c>
      <c r="K1111">
        <f t="shared" si="70"/>
        <v>0</v>
      </c>
      <c r="L1111">
        <f t="shared" si="71"/>
        <v>1</v>
      </c>
    </row>
    <row r="1112" spans="1:12" x14ac:dyDescent="0.25">
      <c r="A1112" t="s">
        <v>1272</v>
      </c>
      <c r="B1112" t="s">
        <v>1273</v>
      </c>
      <c r="C1112">
        <v>8</v>
      </c>
      <c r="D1112">
        <v>12</v>
      </c>
      <c r="G1112">
        <v>20</v>
      </c>
      <c r="H1112">
        <v>0</v>
      </c>
      <c r="I1112">
        <f t="shared" si="68"/>
        <v>1</v>
      </c>
      <c r="J1112">
        <f t="shared" si="69"/>
        <v>0</v>
      </c>
      <c r="K1112">
        <f t="shared" si="70"/>
        <v>0</v>
      </c>
      <c r="L1112">
        <f t="shared" si="71"/>
        <v>1</v>
      </c>
    </row>
    <row r="1113" spans="1:12" x14ac:dyDescent="0.25">
      <c r="A1113" t="s">
        <v>1274</v>
      </c>
      <c r="B1113" t="s">
        <v>1275</v>
      </c>
      <c r="C1113">
        <v>10</v>
      </c>
      <c r="D1113">
        <v>0</v>
      </c>
      <c r="G1113">
        <v>10</v>
      </c>
      <c r="H1113">
        <v>0</v>
      </c>
      <c r="I1113">
        <f t="shared" si="68"/>
        <v>1</v>
      </c>
      <c r="J1113">
        <f t="shared" si="69"/>
        <v>0</v>
      </c>
      <c r="K1113">
        <f t="shared" si="70"/>
        <v>0</v>
      </c>
      <c r="L1113">
        <f t="shared" si="71"/>
        <v>0</v>
      </c>
    </row>
    <row r="1114" spans="1:12" x14ac:dyDescent="0.25">
      <c r="A1114" t="s">
        <v>1276</v>
      </c>
      <c r="B1114" t="s">
        <v>1275</v>
      </c>
      <c r="C1114">
        <v>8</v>
      </c>
      <c r="D1114">
        <v>4</v>
      </c>
      <c r="G1114">
        <v>12</v>
      </c>
      <c r="H1114">
        <v>0</v>
      </c>
      <c r="I1114">
        <f t="shared" si="68"/>
        <v>1</v>
      </c>
      <c r="J1114">
        <f t="shared" si="69"/>
        <v>0</v>
      </c>
      <c r="K1114">
        <f t="shared" si="70"/>
        <v>0</v>
      </c>
      <c r="L1114">
        <f t="shared" si="71"/>
        <v>1</v>
      </c>
    </row>
    <row r="1115" spans="1:12" x14ac:dyDescent="0.25">
      <c r="A1115" t="s">
        <v>1277</v>
      </c>
      <c r="B1115" t="s">
        <v>1278</v>
      </c>
      <c r="C1115">
        <v>6</v>
      </c>
      <c r="D1115">
        <v>6</v>
      </c>
      <c r="G1115">
        <v>12</v>
      </c>
      <c r="H1115">
        <v>0</v>
      </c>
      <c r="I1115">
        <f t="shared" si="68"/>
        <v>1</v>
      </c>
      <c r="J1115">
        <f t="shared" si="69"/>
        <v>0</v>
      </c>
      <c r="K1115">
        <f t="shared" si="70"/>
        <v>0</v>
      </c>
      <c r="L1115">
        <f t="shared" si="71"/>
        <v>1</v>
      </c>
    </row>
    <row r="1116" spans="1:12" x14ac:dyDescent="0.25">
      <c r="A1116" t="s">
        <v>1279</v>
      </c>
      <c r="B1116" t="s">
        <v>1278</v>
      </c>
      <c r="C1116">
        <v>9</v>
      </c>
      <c r="D1116">
        <v>0</v>
      </c>
      <c r="G1116">
        <v>9</v>
      </c>
      <c r="H1116">
        <v>0</v>
      </c>
      <c r="I1116">
        <f t="shared" si="68"/>
        <v>1</v>
      </c>
      <c r="J1116">
        <f t="shared" si="69"/>
        <v>0</v>
      </c>
      <c r="K1116">
        <f t="shared" si="70"/>
        <v>0</v>
      </c>
      <c r="L1116">
        <f t="shared" si="71"/>
        <v>0</v>
      </c>
    </row>
    <row r="1117" spans="1:12" x14ac:dyDescent="0.25">
      <c r="A1117" t="s">
        <v>1280</v>
      </c>
      <c r="B1117" t="s">
        <v>54</v>
      </c>
      <c r="C1117">
        <v>12</v>
      </c>
      <c r="D1117">
        <v>12</v>
      </c>
      <c r="G1117">
        <v>24</v>
      </c>
      <c r="H1117">
        <v>0</v>
      </c>
      <c r="I1117">
        <f t="shared" si="68"/>
        <v>1</v>
      </c>
      <c r="J1117">
        <f t="shared" si="69"/>
        <v>0</v>
      </c>
      <c r="K1117">
        <f t="shared" si="70"/>
        <v>0</v>
      </c>
      <c r="L1117">
        <f t="shared" si="71"/>
        <v>1</v>
      </c>
    </row>
    <row r="1118" spans="1:12" x14ac:dyDescent="0.25">
      <c r="A1118" t="s">
        <v>1281</v>
      </c>
      <c r="B1118" t="s">
        <v>54</v>
      </c>
      <c r="C1118">
        <v>8</v>
      </c>
      <c r="D1118">
        <v>0</v>
      </c>
      <c r="G1118">
        <v>8</v>
      </c>
      <c r="H1118">
        <v>0</v>
      </c>
      <c r="I1118">
        <f t="shared" si="68"/>
        <v>1</v>
      </c>
      <c r="J1118">
        <f t="shared" si="69"/>
        <v>0</v>
      </c>
      <c r="K1118">
        <f t="shared" si="70"/>
        <v>0</v>
      </c>
      <c r="L1118">
        <f t="shared" si="71"/>
        <v>0</v>
      </c>
    </row>
    <row r="1119" spans="1:12" x14ac:dyDescent="0.25">
      <c r="A1119" t="s">
        <v>1282</v>
      </c>
      <c r="B1119" t="s">
        <v>54</v>
      </c>
      <c r="C1119">
        <v>6</v>
      </c>
      <c r="D1119">
        <v>52</v>
      </c>
      <c r="G1119">
        <v>58</v>
      </c>
      <c r="H1119">
        <v>0</v>
      </c>
      <c r="I1119">
        <f t="shared" si="68"/>
        <v>1</v>
      </c>
      <c r="J1119">
        <f t="shared" si="69"/>
        <v>0</v>
      </c>
      <c r="K1119">
        <f t="shared" si="70"/>
        <v>0</v>
      </c>
      <c r="L1119">
        <f t="shared" si="71"/>
        <v>1</v>
      </c>
    </row>
    <row r="1120" spans="1:12" x14ac:dyDescent="0.25">
      <c r="A1120" t="s">
        <v>1283</v>
      </c>
      <c r="B1120" t="s">
        <v>54</v>
      </c>
      <c r="C1120">
        <v>4</v>
      </c>
      <c r="D1120">
        <v>12</v>
      </c>
      <c r="G1120">
        <v>16</v>
      </c>
      <c r="H1120">
        <v>0</v>
      </c>
      <c r="I1120">
        <f t="shared" si="68"/>
        <v>1</v>
      </c>
      <c r="J1120">
        <f t="shared" si="69"/>
        <v>0</v>
      </c>
      <c r="K1120">
        <f t="shared" si="70"/>
        <v>0</v>
      </c>
      <c r="L1120">
        <f t="shared" si="71"/>
        <v>1</v>
      </c>
    </row>
    <row r="1121" spans="1:12" x14ac:dyDescent="0.25">
      <c r="A1121" t="s">
        <v>1284</v>
      </c>
      <c r="B1121" t="s">
        <v>54</v>
      </c>
      <c r="C1121">
        <v>4</v>
      </c>
      <c r="D1121">
        <v>1</v>
      </c>
      <c r="G1121">
        <v>5</v>
      </c>
      <c r="H1121">
        <v>0</v>
      </c>
      <c r="I1121">
        <f t="shared" si="68"/>
        <v>1</v>
      </c>
      <c r="J1121">
        <f t="shared" si="69"/>
        <v>0</v>
      </c>
      <c r="K1121">
        <f t="shared" si="70"/>
        <v>0</v>
      </c>
      <c r="L1121">
        <f t="shared" si="71"/>
        <v>1</v>
      </c>
    </row>
    <row r="1122" spans="1:12" x14ac:dyDescent="0.25">
      <c r="A1122" t="s">
        <v>1285</v>
      </c>
      <c r="B1122" t="s">
        <v>54</v>
      </c>
      <c r="C1122">
        <v>6</v>
      </c>
      <c r="D1122">
        <v>0</v>
      </c>
      <c r="G1122">
        <v>6</v>
      </c>
      <c r="H1122">
        <v>0</v>
      </c>
      <c r="I1122">
        <f t="shared" si="68"/>
        <v>1</v>
      </c>
      <c r="J1122">
        <f t="shared" si="69"/>
        <v>0</v>
      </c>
      <c r="K1122">
        <f t="shared" si="70"/>
        <v>0</v>
      </c>
      <c r="L1122">
        <f t="shared" si="71"/>
        <v>0</v>
      </c>
    </row>
    <row r="1123" spans="1:12" x14ac:dyDescent="0.25">
      <c r="A1123" t="s">
        <v>1286</v>
      </c>
      <c r="B1123" t="s">
        <v>54</v>
      </c>
      <c r="C1123">
        <v>8</v>
      </c>
      <c r="D1123">
        <v>8</v>
      </c>
      <c r="G1123">
        <v>16</v>
      </c>
      <c r="H1123">
        <v>0</v>
      </c>
      <c r="I1123">
        <f t="shared" si="68"/>
        <v>1</v>
      </c>
      <c r="J1123">
        <f t="shared" si="69"/>
        <v>0</v>
      </c>
      <c r="K1123">
        <f t="shared" si="70"/>
        <v>0</v>
      </c>
      <c r="L1123">
        <f t="shared" si="71"/>
        <v>1</v>
      </c>
    </row>
    <row r="1124" spans="1:12" x14ac:dyDescent="0.25">
      <c r="A1124" t="s">
        <v>1287</v>
      </c>
      <c r="B1124" t="s">
        <v>54</v>
      </c>
      <c r="C1124">
        <v>12</v>
      </c>
      <c r="D1124">
        <v>0</v>
      </c>
      <c r="G1124">
        <v>12</v>
      </c>
      <c r="H1124">
        <v>0</v>
      </c>
      <c r="I1124">
        <f t="shared" si="68"/>
        <v>1</v>
      </c>
      <c r="J1124">
        <f t="shared" si="69"/>
        <v>0</v>
      </c>
      <c r="K1124">
        <f t="shared" si="70"/>
        <v>0</v>
      </c>
      <c r="L1124">
        <f t="shared" si="71"/>
        <v>0</v>
      </c>
    </row>
    <row r="1125" spans="1:12" x14ac:dyDescent="0.25">
      <c r="A1125" t="s">
        <v>1288</v>
      </c>
      <c r="B1125" t="s">
        <v>54</v>
      </c>
      <c r="C1125">
        <v>9</v>
      </c>
      <c r="D1125">
        <v>8</v>
      </c>
      <c r="G1125">
        <v>17</v>
      </c>
      <c r="H1125">
        <v>0</v>
      </c>
      <c r="I1125">
        <f t="shared" si="68"/>
        <v>1</v>
      </c>
      <c r="J1125">
        <f t="shared" si="69"/>
        <v>0</v>
      </c>
      <c r="K1125">
        <f t="shared" si="70"/>
        <v>0</v>
      </c>
      <c r="L1125">
        <f t="shared" si="71"/>
        <v>1</v>
      </c>
    </row>
    <row r="1126" spans="1:12" x14ac:dyDescent="0.25">
      <c r="A1126" t="s">
        <v>1289</v>
      </c>
      <c r="B1126" t="s">
        <v>54</v>
      </c>
      <c r="C1126">
        <v>13</v>
      </c>
      <c r="D1126">
        <v>6</v>
      </c>
      <c r="G1126">
        <v>19</v>
      </c>
      <c r="H1126">
        <v>0</v>
      </c>
      <c r="I1126">
        <f t="shared" si="68"/>
        <v>1</v>
      </c>
      <c r="J1126">
        <f t="shared" si="69"/>
        <v>0</v>
      </c>
      <c r="K1126">
        <f t="shared" si="70"/>
        <v>0</v>
      </c>
      <c r="L1126">
        <f t="shared" si="71"/>
        <v>1</v>
      </c>
    </row>
    <row r="1127" spans="1:12" x14ac:dyDescent="0.25">
      <c r="A1127" t="s">
        <v>1290</v>
      </c>
      <c r="B1127" t="s">
        <v>54</v>
      </c>
      <c r="C1127">
        <v>12</v>
      </c>
      <c r="D1127">
        <v>14</v>
      </c>
      <c r="G1127">
        <v>26</v>
      </c>
      <c r="H1127">
        <v>0</v>
      </c>
      <c r="I1127">
        <f t="shared" si="68"/>
        <v>1</v>
      </c>
      <c r="J1127">
        <f t="shared" si="69"/>
        <v>0</v>
      </c>
      <c r="K1127">
        <f t="shared" si="70"/>
        <v>0</v>
      </c>
      <c r="L1127">
        <f t="shared" si="71"/>
        <v>1</v>
      </c>
    </row>
    <row r="1128" spans="1:12" x14ac:dyDescent="0.25">
      <c r="A1128" t="s">
        <v>1291</v>
      </c>
      <c r="B1128" t="s">
        <v>54</v>
      </c>
      <c r="C1128">
        <v>8</v>
      </c>
      <c r="D1128">
        <v>0</v>
      </c>
      <c r="G1128">
        <v>8</v>
      </c>
      <c r="H1128">
        <v>0</v>
      </c>
      <c r="I1128">
        <f t="shared" si="68"/>
        <v>1</v>
      </c>
      <c r="J1128">
        <f t="shared" si="69"/>
        <v>0</v>
      </c>
      <c r="K1128">
        <f t="shared" si="70"/>
        <v>0</v>
      </c>
      <c r="L1128">
        <f t="shared" si="71"/>
        <v>0</v>
      </c>
    </row>
    <row r="1129" spans="1:12" x14ac:dyDescent="0.25">
      <c r="A1129" t="s">
        <v>1292</v>
      </c>
      <c r="B1129" t="s">
        <v>54</v>
      </c>
      <c r="C1129">
        <v>12</v>
      </c>
      <c r="D1129">
        <v>12</v>
      </c>
      <c r="G1129">
        <v>24</v>
      </c>
      <c r="H1129">
        <v>0</v>
      </c>
      <c r="I1129">
        <f t="shared" si="68"/>
        <v>1</v>
      </c>
      <c r="J1129">
        <f t="shared" si="69"/>
        <v>0</v>
      </c>
      <c r="K1129">
        <f t="shared" si="70"/>
        <v>0</v>
      </c>
      <c r="L1129">
        <f t="shared" si="71"/>
        <v>1</v>
      </c>
    </row>
    <row r="1130" spans="1:12" x14ac:dyDescent="0.25">
      <c r="A1130" t="s">
        <v>1293</v>
      </c>
      <c r="B1130" t="s">
        <v>54</v>
      </c>
      <c r="C1130">
        <v>6</v>
      </c>
      <c r="D1130">
        <v>6</v>
      </c>
      <c r="G1130">
        <v>12</v>
      </c>
      <c r="H1130">
        <v>0</v>
      </c>
      <c r="I1130">
        <f t="shared" si="68"/>
        <v>1</v>
      </c>
      <c r="J1130">
        <f t="shared" si="69"/>
        <v>0</v>
      </c>
      <c r="K1130">
        <f t="shared" si="70"/>
        <v>0</v>
      </c>
      <c r="L1130">
        <f t="shared" si="71"/>
        <v>1</v>
      </c>
    </row>
    <row r="1131" spans="1:12" x14ac:dyDescent="0.25">
      <c r="A1131" t="s">
        <v>1294</v>
      </c>
      <c r="B1131" t="s">
        <v>54</v>
      </c>
      <c r="C1131">
        <v>12</v>
      </c>
      <c r="D1131">
        <v>0</v>
      </c>
      <c r="G1131">
        <v>12</v>
      </c>
      <c r="H1131">
        <v>0</v>
      </c>
      <c r="I1131">
        <f t="shared" si="68"/>
        <v>1</v>
      </c>
      <c r="J1131">
        <f t="shared" si="69"/>
        <v>0</v>
      </c>
      <c r="K1131">
        <f t="shared" si="70"/>
        <v>0</v>
      </c>
      <c r="L1131">
        <f t="shared" si="71"/>
        <v>0</v>
      </c>
    </row>
    <row r="1132" spans="1:12" x14ac:dyDescent="0.25">
      <c r="A1132" t="s">
        <v>1295</v>
      </c>
      <c r="B1132" t="s">
        <v>54</v>
      </c>
      <c r="C1132">
        <v>14</v>
      </c>
      <c r="D1132">
        <v>38</v>
      </c>
      <c r="G1132">
        <v>52</v>
      </c>
      <c r="H1132">
        <v>0</v>
      </c>
      <c r="I1132">
        <f t="shared" si="68"/>
        <v>1</v>
      </c>
      <c r="J1132">
        <f t="shared" si="69"/>
        <v>0</v>
      </c>
      <c r="K1132">
        <f t="shared" si="70"/>
        <v>0</v>
      </c>
      <c r="L1132">
        <f t="shared" si="71"/>
        <v>1</v>
      </c>
    </row>
    <row r="1133" spans="1:12" x14ac:dyDescent="0.25">
      <c r="A1133" t="s">
        <v>1296</v>
      </c>
      <c r="B1133" t="s">
        <v>56</v>
      </c>
      <c r="C1133">
        <v>2</v>
      </c>
      <c r="D1133">
        <v>6</v>
      </c>
      <c r="G1133">
        <v>8</v>
      </c>
      <c r="H1133">
        <v>0</v>
      </c>
      <c r="I1133">
        <f t="shared" si="68"/>
        <v>1</v>
      </c>
      <c r="J1133">
        <f t="shared" si="69"/>
        <v>0</v>
      </c>
      <c r="K1133">
        <f t="shared" si="70"/>
        <v>0</v>
      </c>
      <c r="L1133">
        <f t="shared" si="71"/>
        <v>1</v>
      </c>
    </row>
    <row r="1134" spans="1:12" x14ac:dyDescent="0.25">
      <c r="A1134" t="s">
        <v>1297</v>
      </c>
      <c r="B1134" t="s">
        <v>56</v>
      </c>
      <c r="C1134">
        <v>12</v>
      </c>
      <c r="D1134">
        <v>12</v>
      </c>
      <c r="G1134">
        <v>24</v>
      </c>
      <c r="H1134">
        <v>0</v>
      </c>
      <c r="I1134">
        <f t="shared" si="68"/>
        <v>1</v>
      </c>
      <c r="J1134">
        <f t="shared" si="69"/>
        <v>0</v>
      </c>
      <c r="K1134">
        <f t="shared" si="70"/>
        <v>0</v>
      </c>
      <c r="L1134">
        <f t="shared" si="71"/>
        <v>1</v>
      </c>
    </row>
    <row r="1135" spans="1:12" x14ac:dyDescent="0.25">
      <c r="A1135" t="s">
        <v>1298</v>
      </c>
      <c r="B1135" t="s">
        <v>276</v>
      </c>
      <c r="C1135">
        <v>16</v>
      </c>
      <c r="D1135">
        <v>4</v>
      </c>
      <c r="G1135">
        <v>20</v>
      </c>
      <c r="H1135">
        <v>0</v>
      </c>
      <c r="I1135">
        <f t="shared" si="68"/>
        <v>1</v>
      </c>
      <c r="J1135">
        <f t="shared" si="69"/>
        <v>0</v>
      </c>
      <c r="K1135">
        <f t="shared" si="70"/>
        <v>0</v>
      </c>
      <c r="L1135">
        <f t="shared" si="71"/>
        <v>1</v>
      </c>
    </row>
    <row r="1136" spans="1:12" x14ac:dyDescent="0.25">
      <c r="A1136" t="s">
        <v>1299</v>
      </c>
      <c r="B1136" t="s">
        <v>276</v>
      </c>
      <c r="C1136">
        <v>13</v>
      </c>
      <c r="D1136">
        <v>12</v>
      </c>
      <c r="G1136">
        <v>25</v>
      </c>
      <c r="H1136">
        <v>0</v>
      </c>
      <c r="I1136">
        <f t="shared" si="68"/>
        <v>1</v>
      </c>
      <c r="J1136">
        <f t="shared" si="69"/>
        <v>0</v>
      </c>
      <c r="K1136">
        <f t="shared" si="70"/>
        <v>0</v>
      </c>
      <c r="L1136">
        <f t="shared" si="71"/>
        <v>1</v>
      </c>
    </row>
    <row r="1137" spans="1:12" x14ac:dyDescent="0.25">
      <c r="A1137" t="s">
        <v>1300</v>
      </c>
      <c r="B1137" t="s">
        <v>276</v>
      </c>
      <c r="C1137">
        <v>25</v>
      </c>
      <c r="D1137">
        <v>13</v>
      </c>
      <c r="G1137">
        <v>38</v>
      </c>
      <c r="H1137">
        <v>0</v>
      </c>
      <c r="I1137">
        <f t="shared" si="68"/>
        <v>1</v>
      </c>
      <c r="J1137">
        <f t="shared" si="69"/>
        <v>0</v>
      </c>
      <c r="K1137">
        <f t="shared" si="70"/>
        <v>0</v>
      </c>
      <c r="L1137">
        <f t="shared" si="71"/>
        <v>1</v>
      </c>
    </row>
    <row r="1138" spans="1:12" x14ac:dyDescent="0.25">
      <c r="A1138" t="s">
        <v>1301</v>
      </c>
      <c r="B1138" t="s">
        <v>276</v>
      </c>
      <c r="C1138">
        <v>32</v>
      </c>
      <c r="D1138">
        <v>0</v>
      </c>
      <c r="G1138">
        <v>32</v>
      </c>
      <c r="H1138">
        <v>0</v>
      </c>
      <c r="I1138">
        <f t="shared" si="68"/>
        <v>1</v>
      </c>
      <c r="J1138">
        <f t="shared" si="69"/>
        <v>0</v>
      </c>
      <c r="K1138">
        <f t="shared" si="70"/>
        <v>0</v>
      </c>
      <c r="L1138">
        <f t="shared" si="71"/>
        <v>0</v>
      </c>
    </row>
    <row r="1139" spans="1:12" x14ac:dyDescent="0.25">
      <c r="A1139" t="s">
        <v>1302</v>
      </c>
      <c r="B1139" t="s">
        <v>1303</v>
      </c>
      <c r="C1139">
        <v>4</v>
      </c>
      <c r="D1139">
        <v>0</v>
      </c>
      <c r="G1139">
        <v>4</v>
      </c>
      <c r="H1139">
        <v>0</v>
      </c>
      <c r="I1139">
        <f t="shared" si="68"/>
        <v>1</v>
      </c>
      <c r="J1139">
        <f t="shared" si="69"/>
        <v>0</v>
      </c>
      <c r="K1139">
        <f t="shared" si="70"/>
        <v>0</v>
      </c>
      <c r="L1139">
        <f t="shared" si="71"/>
        <v>0</v>
      </c>
    </row>
    <row r="1140" spans="1:12" x14ac:dyDescent="0.25">
      <c r="A1140" t="s">
        <v>1304</v>
      </c>
      <c r="B1140" t="s">
        <v>1303</v>
      </c>
      <c r="C1140">
        <v>6</v>
      </c>
      <c r="D1140">
        <v>0</v>
      </c>
      <c r="G1140">
        <v>6</v>
      </c>
      <c r="H1140">
        <v>0</v>
      </c>
      <c r="I1140">
        <f t="shared" si="68"/>
        <v>1</v>
      </c>
      <c r="J1140">
        <f t="shared" si="69"/>
        <v>0</v>
      </c>
      <c r="K1140">
        <f t="shared" si="70"/>
        <v>0</v>
      </c>
      <c r="L1140">
        <f t="shared" si="71"/>
        <v>0</v>
      </c>
    </row>
    <row r="1141" spans="1:12" x14ac:dyDescent="0.25">
      <c r="A1141" t="s">
        <v>1305</v>
      </c>
      <c r="B1141" t="s">
        <v>1303</v>
      </c>
      <c r="C1141">
        <v>12</v>
      </c>
      <c r="D1141">
        <v>0</v>
      </c>
      <c r="G1141">
        <v>12</v>
      </c>
      <c r="H1141">
        <v>0</v>
      </c>
      <c r="I1141">
        <f t="shared" si="68"/>
        <v>1</v>
      </c>
      <c r="J1141">
        <f t="shared" si="69"/>
        <v>0</v>
      </c>
      <c r="K1141">
        <f t="shared" si="70"/>
        <v>0</v>
      </c>
      <c r="L1141">
        <f t="shared" si="71"/>
        <v>0</v>
      </c>
    </row>
    <row r="1142" spans="1:12" x14ac:dyDescent="0.25">
      <c r="A1142" t="s">
        <v>1306</v>
      </c>
      <c r="B1142" t="s">
        <v>1303</v>
      </c>
      <c r="C1142">
        <v>8</v>
      </c>
      <c r="D1142">
        <v>27</v>
      </c>
      <c r="G1142">
        <v>35</v>
      </c>
      <c r="H1142">
        <v>0</v>
      </c>
      <c r="I1142">
        <f t="shared" si="68"/>
        <v>1</v>
      </c>
      <c r="J1142">
        <f t="shared" si="69"/>
        <v>0</v>
      </c>
      <c r="K1142">
        <f t="shared" si="70"/>
        <v>0</v>
      </c>
      <c r="L1142">
        <f t="shared" si="71"/>
        <v>1</v>
      </c>
    </row>
    <row r="1143" spans="1:12" x14ac:dyDescent="0.25">
      <c r="A1143" t="s">
        <v>1307</v>
      </c>
      <c r="B1143" t="s">
        <v>1303</v>
      </c>
      <c r="C1143">
        <v>12</v>
      </c>
      <c r="E1143">
        <v>12</v>
      </c>
      <c r="G1143">
        <v>12</v>
      </c>
      <c r="H1143">
        <v>12</v>
      </c>
      <c r="I1143">
        <f t="shared" si="68"/>
        <v>1</v>
      </c>
      <c r="J1143">
        <f t="shared" si="69"/>
        <v>1</v>
      </c>
      <c r="K1143">
        <f t="shared" si="70"/>
        <v>0</v>
      </c>
      <c r="L1143">
        <f t="shared" si="71"/>
        <v>0</v>
      </c>
    </row>
    <row r="1144" spans="1:12" x14ac:dyDescent="0.25">
      <c r="A1144" t="s">
        <v>1308</v>
      </c>
      <c r="B1144" t="s">
        <v>1303</v>
      </c>
      <c r="C1144">
        <v>4</v>
      </c>
      <c r="D1144">
        <v>2</v>
      </c>
      <c r="G1144">
        <v>6</v>
      </c>
      <c r="H1144">
        <v>0</v>
      </c>
      <c r="I1144">
        <f t="shared" si="68"/>
        <v>1</v>
      </c>
      <c r="J1144">
        <f t="shared" si="69"/>
        <v>0</v>
      </c>
      <c r="K1144">
        <f t="shared" si="70"/>
        <v>0</v>
      </c>
      <c r="L1144">
        <f t="shared" si="71"/>
        <v>1</v>
      </c>
    </row>
    <row r="1145" spans="1:12" x14ac:dyDescent="0.25">
      <c r="A1145" t="s">
        <v>1309</v>
      </c>
      <c r="B1145" t="s">
        <v>280</v>
      </c>
      <c r="C1145">
        <v>12</v>
      </c>
      <c r="D1145">
        <v>0</v>
      </c>
      <c r="G1145">
        <v>12</v>
      </c>
      <c r="H1145">
        <v>0</v>
      </c>
      <c r="I1145">
        <f t="shared" si="68"/>
        <v>1</v>
      </c>
      <c r="J1145">
        <f t="shared" si="69"/>
        <v>0</v>
      </c>
      <c r="K1145">
        <f t="shared" si="70"/>
        <v>0</v>
      </c>
      <c r="L1145">
        <f t="shared" si="71"/>
        <v>0</v>
      </c>
    </row>
    <row r="1146" spans="1:12" x14ac:dyDescent="0.25">
      <c r="A1146" t="s">
        <v>1310</v>
      </c>
      <c r="B1146" t="s">
        <v>280</v>
      </c>
      <c r="C1146">
        <v>16</v>
      </c>
      <c r="D1146">
        <v>52</v>
      </c>
      <c r="G1146">
        <v>68</v>
      </c>
      <c r="H1146">
        <v>0</v>
      </c>
      <c r="I1146">
        <f t="shared" si="68"/>
        <v>1</v>
      </c>
      <c r="J1146">
        <f t="shared" si="69"/>
        <v>0</v>
      </c>
      <c r="K1146">
        <f t="shared" si="70"/>
        <v>0</v>
      </c>
      <c r="L1146">
        <f t="shared" si="71"/>
        <v>1</v>
      </c>
    </row>
    <row r="1147" spans="1:12" x14ac:dyDescent="0.25">
      <c r="A1147" t="s">
        <v>1311</v>
      </c>
      <c r="B1147" t="s">
        <v>280</v>
      </c>
      <c r="C1147">
        <v>12</v>
      </c>
      <c r="D1147">
        <v>0</v>
      </c>
      <c r="G1147">
        <v>12</v>
      </c>
      <c r="H1147">
        <v>0</v>
      </c>
      <c r="I1147">
        <f t="shared" si="68"/>
        <v>1</v>
      </c>
      <c r="J1147">
        <f t="shared" si="69"/>
        <v>0</v>
      </c>
      <c r="K1147">
        <f t="shared" si="70"/>
        <v>0</v>
      </c>
      <c r="L1147">
        <f t="shared" si="71"/>
        <v>0</v>
      </c>
    </row>
    <row r="1148" spans="1:12" x14ac:dyDescent="0.25">
      <c r="A1148" t="s">
        <v>1312</v>
      </c>
      <c r="B1148" t="s">
        <v>280</v>
      </c>
      <c r="C1148">
        <v>14</v>
      </c>
      <c r="D1148">
        <v>0</v>
      </c>
      <c r="G1148">
        <v>14</v>
      </c>
      <c r="H1148">
        <v>0</v>
      </c>
      <c r="I1148">
        <f t="shared" si="68"/>
        <v>1</v>
      </c>
      <c r="J1148">
        <f t="shared" si="69"/>
        <v>0</v>
      </c>
      <c r="K1148">
        <f t="shared" si="70"/>
        <v>0</v>
      </c>
      <c r="L1148">
        <f t="shared" si="71"/>
        <v>0</v>
      </c>
    </row>
    <row r="1149" spans="1:12" x14ac:dyDescent="0.25">
      <c r="A1149" t="s">
        <v>1313</v>
      </c>
      <c r="B1149" t="s">
        <v>280</v>
      </c>
      <c r="C1149">
        <v>10.5</v>
      </c>
      <c r="D1149">
        <v>12</v>
      </c>
      <c r="G1149">
        <v>22.5</v>
      </c>
      <c r="H1149">
        <v>0</v>
      </c>
      <c r="I1149">
        <f t="shared" si="68"/>
        <v>1</v>
      </c>
      <c r="J1149">
        <f t="shared" si="69"/>
        <v>0</v>
      </c>
      <c r="K1149">
        <f t="shared" si="70"/>
        <v>0</v>
      </c>
      <c r="L1149">
        <f t="shared" si="71"/>
        <v>1</v>
      </c>
    </row>
    <row r="1150" spans="1:12" x14ac:dyDescent="0.25">
      <c r="A1150" t="s">
        <v>1314</v>
      </c>
      <c r="B1150" t="s">
        <v>280</v>
      </c>
      <c r="C1150">
        <v>10</v>
      </c>
      <c r="D1150">
        <v>0</v>
      </c>
      <c r="G1150">
        <v>10</v>
      </c>
      <c r="H1150">
        <v>0</v>
      </c>
      <c r="I1150">
        <f t="shared" si="68"/>
        <v>1</v>
      </c>
      <c r="J1150">
        <f t="shared" si="69"/>
        <v>0</v>
      </c>
      <c r="K1150">
        <f t="shared" si="70"/>
        <v>0</v>
      </c>
      <c r="L1150">
        <f t="shared" si="71"/>
        <v>0</v>
      </c>
    </row>
    <row r="1151" spans="1:12" x14ac:dyDescent="0.25">
      <c r="A1151" t="s">
        <v>1315</v>
      </c>
      <c r="B1151" t="s">
        <v>58</v>
      </c>
      <c r="C1151">
        <v>6</v>
      </c>
      <c r="D1151">
        <v>0</v>
      </c>
      <c r="G1151">
        <v>6</v>
      </c>
      <c r="H1151">
        <v>0</v>
      </c>
      <c r="I1151">
        <f t="shared" si="68"/>
        <v>1</v>
      </c>
      <c r="J1151">
        <f t="shared" si="69"/>
        <v>0</v>
      </c>
      <c r="K1151">
        <f t="shared" si="70"/>
        <v>0</v>
      </c>
      <c r="L1151">
        <f t="shared" si="71"/>
        <v>0</v>
      </c>
    </row>
    <row r="1152" spans="1:12" x14ac:dyDescent="0.25">
      <c r="A1152" t="s">
        <v>1316</v>
      </c>
      <c r="B1152" t="s">
        <v>1317</v>
      </c>
      <c r="C1152">
        <v>13</v>
      </c>
      <c r="D1152">
        <v>0</v>
      </c>
      <c r="G1152">
        <v>13</v>
      </c>
      <c r="H1152">
        <v>0</v>
      </c>
      <c r="I1152">
        <f t="shared" si="68"/>
        <v>1</v>
      </c>
      <c r="J1152">
        <f t="shared" si="69"/>
        <v>0</v>
      </c>
      <c r="K1152">
        <f t="shared" si="70"/>
        <v>0</v>
      </c>
      <c r="L1152">
        <f t="shared" si="71"/>
        <v>0</v>
      </c>
    </row>
    <row r="1153" spans="1:12" x14ac:dyDescent="0.25">
      <c r="A1153" t="s">
        <v>1318</v>
      </c>
      <c r="B1153" t="s">
        <v>1317</v>
      </c>
      <c r="C1153">
        <v>16</v>
      </c>
      <c r="D1153">
        <v>4</v>
      </c>
      <c r="G1153">
        <v>20</v>
      </c>
      <c r="H1153">
        <v>0</v>
      </c>
      <c r="I1153">
        <f t="shared" si="68"/>
        <v>1</v>
      </c>
      <c r="J1153">
        <f t="shared" si="69"/>
        <v>0</v>
      </c>
      <c r="K1153">
        <f t="shared" si="70"/>
        <v>0</v>
      </c>
      <c r="L1153">
        <f t="shared" si="71"/>
        <v>1</v>
      </c>
    </row>
    <row r="1154" spans="1:12" x14ac:dyDescent="0.25">
      <c r="A1154" t="s">
        <v>1319</v>
      </c>
      <c r="B1154" t="s">
        <v>1317</v>
      </c>
      <c r="C1154">
        <v>12</v>
      </c>
      <c r="D1154">
        <v>13</v>
      </c>
      <c r="G1154">
        <v>25</v>
      </c>
      <c r="H1154">
        <v>0</v>
      </c>
      <c r="I1154">
        <f t="shared" si="68"/>
        <v>1</v>
      </c>
      <c r="J1154">
        <f t="shared" si="69"/>
        <v>0</v>
      </c>
      <c r="K1154">
        <f t="shared" si="70"/>
        <v>0</v>
      </c>
      <c r="L1154">
        <f t="shared" si="71"/>
        <v>1</v>
      </c>
    </row>
    <row r="1155" spans="1:12" x14ac:dyDescent="0.25">
      <c r="A1155" t="s">
        <v>1320</v>
      </c>
      <c r="B1155" t="s">
        <v>1317</v>
      </c>
      <c r="C1155">
        <v>4</v>
      </c>
      <c r="D1155">
        <v>52</v>
      </c>
      <c r="G1155">
        <v>56</v>
      </c>
      <c r="H1155">
        <v>0</v>
      </c>
      <c r="I1155">
        <f t="shared" ref="I1155:I1218" si="72">IF(C1155&gt;0, 1, 0)</f>
        <v>1</v>
      </c>
      <c r="J1155">
        <f t="shared" ref="J1155:J1218" si="73">IF(E1155&gt;0, 1,0)</f>
        <v>0</v>
      </c>
      <c r="K1155">
        <f t="shared" ref="K1155:K1218" si="74">IF(F1155&gt;0, 1, 0)</f>
        <v>0</v>
      </c>
      <c r="L1155">
        <f t="shared" ref="L1155:L1218" si="75">IF(D1155&gt;0, 1, 0)</f>
        <v>1</v>
      </c>
    </row>
    <row r="1156" spans="1:12" x14ac:dyDescent="0.25">
      <c r="A1156" t="s">
        <v>1321</v>
      </c>
      <c r="B1156" t="s">
        <v>60</v>
      </c>
      <c r="C1156">
        <v>6</v>
      </c>
      <c r="D1156">
        <v>1</v>
      </c>
      <c r="G1156">
        <v>7</v>
      </c>
      <c r="H1156">
        <v>0</v>
      </c>
      <c r="I1156">
        <f t="shared" si="72"/>
        <v>1</v>
      </c>
      <c r="J1156">
        <f t="shared" si="73"/>
        <v>0</v>
      </c>
      <c r="K1156">
        <f t="shared" si="74"/>
        <v>0</v>
      </c>
      <c r="L1156">
        <f t="shared" si="75"/>
        <v>1</v>
      </c>
    </row>
    <row r="1157" spans="1:12" x14ac:dyDescent="0.25">
      <c r="A1157" t="s">
        <v>1322</v>
      </c>
      <c r="B1157" t="s">
        <v>60</v>
      </c>
      <c r="C1157">
        <v>8</v>
      </c>
      <c r="D1157">
        <v>4</v>
      </c>
      <c r="G1157">
        <v>12</v>
      </c>
      <c r="H1157">
        <v>0</v>
      </c>
      <c r="I1157">
        <f t="shared" si="72"/>
        <v>1</v>
      </c>
      <c r="J1157">
        <f t="shared" si="73"/>
        <v>0</v>
      </c>
      <c r="K1157">
        <f t="shared" si="74"/>
        <v>0</v>
      </c>
      <c r="L1157">
        <f t="shared" si="75"/>
        <v>1</v>
      </c>
    </row>
    <row r="1158" spans="1:12" x14ac:dyDescent="0.25">
      <c r="A1158" t="s">
        <v>1323</v>
      </c>
      <c r="B1158" t="s">
        <v>60</v>
      </c>
      <c r="C1158">
        <v>4</v>
      </c>
      <c r="D1158">
        <v>12</v>
      </c>
      <c r="G1158">
        <v>16</v>
      </c>
      <c r="H1158">
        <v>0</v>
      </c>
      <c r="I1158">
        <f t="shared" si="72"/>
        <v>1</v>
      </c>
      <c r="J1158">
        <f t="shared" si="73"/>
        <v>0</v>
      </c>
      <c r="K1158">
        <f t="shared" si="74"/>
        <v>0</v>
      </c>
      <c r="L1158">
        <f t="shared" si="75"/>
        <v>1</v>
      </c>
    </row>
    <row r="1159" spans="1:12" x14ac:dyDescent="0.25">
      <c r="A1159" t="s">
        <v>1324</v>
      </c>
      <c r="B1159" t="s">
        <v>60</v>
      </c>
      <c r="C1159">
        <v>12</v>
      </c>
      <c r="D1159">
        <v>6</v>
      </c>
      <c r="G1159">
        <v>18</v>
      </c>
      <c r="H1159">
        <v>0</v>
      </c>
      <c r="I1159">
        <f t="shared" si="72"/>
        <v>1</v>
      </c>
      <c r="J1159">
        <f t="shared" si="73"/>
        <v>0</v>
      </c>
      <c r="K1159">
        <f t="shared" si="74"/>
        <v>0</v>
      </c>
      <c r="L1159">
        <f t="shared" si="75"/>
        <v>1</v>
      </c>
    </row>
    <row r="1160" spans="1:12" x14ac:dyDescent="0.25">
      <c r="A1160" t="s">
        <v>1325</v>
      </c>
      <c r="B1160" t="s">
        <v>60</v>
      </c>
      <c r="C1160">
        <v>12</v>
      </c>
      <c r="D1160">
        <v>0</v>
      </c>
      <c r="G1160">
        <v>12</v>
      </c>
      <c r="H1160">
        <v>0</v>
      </c>
      <c r="I1160">
        <f t="shared" si="72"/>
        <v>1</v>
      </c>
      <c r="J1160">
        <f t="shared" si="73"/>
        <v>0</v>
      </c>
      <c r="K1160">
        <f t="shared" si="74"/>
        <v>0</v>
      </c>
      <c r="L1160">
        <f t="shared" si="75"/>
        <v>0</v>
      </c>
    </row>
    <row r="1161" spans="1:12" x14ac:dyDescent="0.25">
      <c r="A1161" t="s">
        <v>1326</v>
      </c>
      <c r="B1161" t="s">
        <v>1327</v>
      </c>
      <c r="C1161">
        <v>12</v>
      </c>
      <c r="D1161">
        <v>24</v>
      </c>
      <c r="G1161">
        <v>36</v>
      </c>
      <c r="H1161">
        <v>0</v>
      </c>
      <c r="I1161">
        <f t="shared" si="72"/>
        <v>1</v>
      </c>
      <c r="J1161">
        <f t="shared" si="73"/>
        <v>0</v>
      </c>
      <c r="K1161">
        <f t="shared" si="74"/>
        <v>0</v>
      </c>
      <c r="L1161">
        <f t="shared" si="75"/>
        <v>1</v>
      </c>
    </row>
    <row r="1162" spans="1:12" x14ac:dyDescent="0.25">
      <c r="A1162" t="s">
        <v>1328</v>
      </c>
      <c r="B1162" t="s">
        <v>1329</v>
      </c>
      <c r="C1162">
        <v>8</v>
      </c>
      <c r="D1162">
        <v>4</v>
      </c>
      <c r="G1162">
        <v>12</v>
      </c>
      <c r="H1162">
        <v>0</v>
      </c>
      <c r="I1162">
        <f t="shared" si="72"/>
        <v>1</v>
      </c>
      <c r="J1162">
        <f t="shared" si="73"/>
        <v>0</v>
      </c>
      <c r="K1162">
        <f t="shared" si="74"/>
        <v>0</v>
      </c>
      <c r="L1162">
        <f t="shared" si="75"/>
        <v>1</v>
      </c>
    </row>
    <row r="1163" spans="1:12" x14ac:dyDescent="0.25">
      <c r="A1163" t="s">
        <v>1330</v>
      </c>
      <c r="B1163" t="s">
        <v>1329</v>
      </c>
      <c r="C1163">
        <v>4</v>
      </c>
      <c r="D1163">
        <v>2</v>
      </c>
      <c r="G1163">
        <v>6</v>
      </c>
      <c r="H1163">
        <v>0</v>
      </c>
      <c r="I1163">
        <f t="shared" si="72"/>
        <v>1</v>
      </c>
      <c r="J1163">
        <f t="shared" si="73"/>
        <v>0</v>
      </c>
      <c r="K1163">
        <f t="shared" si="74"/>
        <v>0</v>
      </c>
      <c r="L1163">
        <f t="shared" si="75"/>
        <v>1</v>
      </c>
    </row>
    <row r="1164" spans="1:12" x14ac:dyDescent="0.25">
      <c r="A1164" t="s">
        <v>1331</v>
      </c>
      <c r="B1164" t="s">
        <v>1332</v>
      </c>
      <c r="C1164">
        <v>4</v>
      </c>
      <c r="D1164">
        <v>12</v>
      </c>
      <c r="G1164">
        <v>16</v>
      </c>
      <c r="H1164">
        <v>0</v>
      </c>
      <c r="I1164">
        <f t="shared" si="72"/>
        <v>1</v>
      </c>
      <c r="J1164">
        <f t="shared" si="73"/>
        <v>0</v>
      </c>
      <c r="K1164">
        <f t="shared" si="74"/>
        <v>0</v>
      </c>
      <c r="L1164">
        <f t="shared" si="75"/>
        <v>1</v>
      </c>
    </row>
    <row r="1165" spans="1:12" x14ac:dyDescent="0.25">
      <c r="A1165" t="s">
        <v>1333</v>
      </c>
      <c r="B1165" t="s">
        <v>1334</v>
      </c>
      <c r="C1165">
        <v>8</v>
      </c>
      <c r="D1165">
        <v>6</v>
      </c>
      <c r="G1165">
        <v>14</v>
      </c>
      <c r="H1165">
        <v>0</v>
      </c>
      <c r="I1165">
        <f t="shared" si="72"/>
        <v>1</v>
      </c>
      <c r="J1165">
        <f t="shared" si="73"/>
        <v>0</v>
      </c>
      <c r="K1165">
        <f t="shared" si="74"/>
        <v>0</v>
      </c>
      <c r="L1165">
        <f t="shared" si="75"/>
        <v>1</v>
      </c>
    </row>
    <row r="1166" spans="1:12" x14ac:dyDescent="0.25">
      <c r="A1166" t="s">
        <v>1335</v>
      </c>
      <c r="B1166" t="s">
        <v>1336</v>
      </c>
      <c r="C1166">
        <v>8</v>
      </c>
      <c r="D1166">
        <v>20</v>
      </c>
      <c r="G1166">
        <v>28</v>
      </c>
      <c r="H1166">
        <v>0</v>
      </c>
      <c r="I1166">
        <f t="shared" si="72"/>
        <v>1</v>
      </c>
      <c r="J1166">
        <f t="shared" si="73"/>
        <v>0</v>
      </c>
      <c r="K1166">
        <f t="shared" si="74"/>
        <v>0</v>
      </c>
      <c r="L1166">
        <f t="shared" si="75"/>
        <v>1</v>
      </c>
    </row>
    <row r="1167" spans="1:12" x14ac:dyDescent="0.25">
      <c r="A1167" t="s">
        <v>1337</v>
      </c>
      <c r="B1167" t="s">
        <v>1336</v>
      </c>
      <c r="C1167">
        <v>8</v>
      </c>
      <c r="D1167">
        <v>0</v>
      </c>
      <c r="G1167">
        <v>8</v>
      </c>
      <c r="H1167">
        <v>0</v>
      </c>
      <c r="I1167">
        <f t="shared" si="72"/>
        <v>1</v>
      </c>
      <c r="J1167">
        <f t="shared" si="73"/>
        <v>0</v>
      </c>
      <c r="K1167">
        <f t="shared" si="74"/>
        <v>0</v>
      </c>
      <c r="L1167">
        <f t="shared" si="75"/>
        <v>0</v>
      </c>
    </row>
    <row r="1168" spans="1:12" x14ac:dyDescent="0.25">
      <c r="A1168" t="s">
        <v>1338</v>
      </c>
      <c r="B1168" t="s">
        <v>286</v>
      </c>
      <c r="C1168">
        <v>8</v>
      </c>
      <c r="D1168">
        <v>4</v>
      </c>
      <c r="G1168">
        <v>12</v>
      </c>
      <c r="H1168">
        <v>0</v>
      </c>
      <c r="I1168">
        <f t="shared" si="72"/>
        <v>1</v>
      </c>
      <c r="J1168">
        <f t="shared" si="73"/>
        <v>0</v>
      </c>
      <c r="K1168">
        <f t="shared" si="74"/>
        <v>0</v>
      </c>
      <c r="L1168">
        <f t="shared" si="75"/>
        <v>1</v>
      </c>
    </row>
    <row r="1169" spans="1:12" x14ac:dyDescent="0.25">
      <c r="A1169" t="s">
        <v>1339</v>
      </c>
      <c r="B1169" t="s">
        <v>286</v>
      </c>
      <c r="C1169">
        <v>12</v>
      </c>
      <c r="D1169">
        <v>0</v>
      </c>
      <c r="G1169">
        <v>12</v>
      </c>
      <c r="H1169">
        <v>0</v>
      </c>
      <c r="I1169">
        <f t="shared" si="72"/>
        <v>1</v>
      </c>
      <c r="J1169">
        <f t="shared" si="73"/>
        <v>0</v>
      </c>
      <c r="K1169">
        <f t="shared" si="74"/>
        <v>0</v>
      </c>
      <c r="L1169">
        <f t="shared" si="75"/>
        <v>0</v>
      </c>
    </row>
    <row r="1170" spans="1:12" x14ac:dyDescent="0.25">
      <c r="A1170" t="s">
        <v>1340</v>
      </c>
      <c r="B1170" t="s">
        <v>286</v>
      </c>
      <c r="C1170">
        <v>11.5</v>
      </c>
      <c r="D1170">
        <v>6</v>
      </c>
      <c r="G1170">
        <v>17.5</v>
      </c>
      <c r="H1170">
        <v>0</v>
      </c>
      <c r="I1170">
        <f t="shared" si="72"/>
        <v>1</v>
      </c>
      <c r="J1170">
        <f t="shared" si="73"/>
        <v>0</v>
      </c>
      <c r="K1170">
        <f t="shared" si="74"/>
        <v>0</v>
      </c>
      <c r="L1170">
        <f t="shared" si="75"/>
        <v>1</v>
      </c>
    </row>
    <row r="1171" spans="1:12" x14ac:dyDescent="0.25">
      <c r="A1171" t="s">
        <v>1341</v>
      </c>
      <c r="B1171" t="s">
        <v>286</v>
      </c>
      <c r="C1171">
        <v>12</v>
      </c>
      <c r="D1171">
        <v>52</v>
      </c>
      <c r="G1171">
        <v>64</v>
      </c>
      <c r="H1171">
        <v>0</v>
      </c>
      <c r="I1171">
        <f t="shared" si="72"/>
        <v>1</v>
      </c>
      <c r="J1171">
        <f t="shared" si="73"/>
        <v>0</v>
      </c>
      <c r="K1171">
        <f t="shared" si="74"/>
        <v>0</v>
      </c>
      <c r="L1171">
        <f t="shared" si="75"/>
        <v>1</v>
      </c>
    </row>
    <row r="1172" spans="1:12" x14ac:dyDescent="0.25">
      <c r="A1172" t="s">
        <v>1342</v>
      </c>
      <c r="B1172" t="s">
        <v>286</v>
      </c>
      <c r="C1172">
        <v>12</v>
      </c>
      <c r="D1172">
        <v>3</v>
      </c>
      <c r="G1172">
        <v>15</v>
      </c>
      <c r="H1172">
        <v>0</v>
      </c>
      <c r="I1172">
        <f t="shared" si="72"/>
        <v>1</v>
      </c>
      <c r="J1172">
        <f t="shared" si="73"/>
        <v>0</v>
      </c>
      <c r="K1172">
        <f t="shared" si="74"/>
        <v>0</v>
      </c>
      <c r="L1172">
        <f t="shared" si="75"/>
        <v>1</v>
      </c>
    </row>
    <row r="1173" spans="1:12" x14ac:dyDescent="0.25">
      <c r="A1173" t="s">
        <v>1343</v>
      </c>
      <c r="B1173" t="s">
        <v>1344</v>
      </c>
      <c r="C1173">
        <v>6</v>
      </c>
      <c r="D1173">
        <v>4</v>
      </c>
      <c r="G1173">
        <v>10</v>
      </c>
      <c r="H1173">
        <v>0</v>
      </c>
      <c r="I1173">
        <f t="shared" si="72"/>
        <v>1</v>
      </c>
      <c r="J1173">
        <f t="shared" si="73"/>
        <v>0</v>
      </c>
      <c r="K1173">
        <f t="shared" si="74"/>
        <v>0</v>
      </c>
      <c r="L1173">
        <f t="shared" si="75"/>
        <v>1</v>
      </c>
    </row>
    <row r="1174" spans="1:12" x14ac:dyDescent="0.25">
      <c r="A1174" t="s">
        <v>1345</v>
      </c>
      <c r="B1174" t="s">
        <v>1344</v>
      </c>
      <c r="C1174">
        <v>10</v>
      </c>
      <c r="D1174">
        <v>2</v>
      </c>
      <c r="G1174">
        <v>12</v>
      </c>
      <c r="H1174">
        <v>0</v>
      </c>
      <c r="I1174">
        <f t="shared" si="72"/>
        <v>1</v>
      </c>
      <c r="J1174">
        <f t="shared" si="73"/>
        <v>0</v>
      </c>
      <c r="K1174">
        <f t="shared" si="74"/>
        <v>0</v>
      </c>
      <c r="L1174">
        <f t="shared" si="75"/>
        <v>1</v>
      </c>
    </row>
    <row r="1175" spans="1:12" x14ac:dyDescent="0.25">
      <c r="A1175" t="s">
        <v>1346</v>
      </c>
      <c r="B1175" t="s">
        <v>1344</v>
      </c>
      <c r="C1175">
        <v>8</v>
      </c>
      <c r="D1175">
        <v>2</v>
      </c>
      <c r="G1175">
        <v>10</v>
      </c>
      <c r="H1175">
        <v>0</v>
      </c>
      <c r="I1175">
        <f t="shared" si="72"/>
        <v>1</v>
      </c>
      <c r="J1175">
        <f t="shared" si="73"/>
        <v>0</v>
      </c>
      <c r="K1175">
        <f t="shared" si="74"/>
        <v>0</v>
      </c>
      <c r="L1175">
        <f t="shared" si="75"/>
        <v>1</v>
      </c>
    </row>
    <row r="1176" spans="1:12" x14ac:dyDescent="0.25">
      <c r="A1176" t="s">
        <v>1347</v>
      </c>
      <c r="B1176" t="s">
        <v>1344</v>
      </c>
      <c r="C1176">
        <v>8</v>
      </c>
      <c r="D1176">
        <v>0</v>
      </c>
      <c r="G1176">
        <v>8</v>
      </c>
      <c r="H1176">
        <v>0</v>
      </c>
      <c r="I1176">
        <f t="shared" si="72"/>
        <v>1</v>
      </c>
      <c r="J1176">
        <f t="shared" si="73"/>
        <v>0</v>
      </c>
      <c r="K1176">
        <f t="shared" si="74"/>
        <v>0</v>
      </c>
      <c r="L1176">
        <f t="shared" si="75"/>
        <v>0</v>
      </c>
    </row>
    <row r="1177" spans="1:12" x14ac:dyDescent="0.25">
      <c r="A1177" t="s">
        <v>1348</v>
      </c>
      <c r="B1177" t="s">
        <v>1344</v>
      </c>
      <c r="C1177">
        <v>6</v>
      </c>
      <c r="D1177">
        <v>6</v>
      </c>
      <c r="G1177">
        <v>12</v>
      </c>
      <c r="H1177">
        <v>0</v>
      </c>
      <c r="I1177">
        <f t="shared" si="72"/>
        <v>1</v>
      </c>
      <c r="J1177">
        <f t="shared" si="73"/>
        <v>0</v>
      </c>
      <c r="K1177">
        <f t="shared" si="74"/>
        <v>0</v>
      </c>
      <c r="L1177">
        <f t="shared" si="75"/>
        <v>1</v>
      </c>
    </row>
    <row r="1178" spans="1:12" x14ac:dyDescent="0.25">
      <c r="A1178" t="s">
        <v>1349</v>
      </c>
      <c r="B1178" t="s">
        <v>1344</v>
      </c>
      <c r="C1178">
        <v>3.5</v>
      </c>
      <c r="D1178">
        <v>5.5</v>
      </c>
      <c r="G1178">
        <v>9</v>
      </c>
      <c r="H1178">
        <v>0</v>
      </c>
      <c r="I1178">
        <f t="shared" si="72"/>
        <v>1</v>
      </c>
      <c r="J1178">
        <f t="shared" si="73"/>
        <v>0</v>
      </c>
      <c r="K1178">
        <f t="shared" si="74"/>
        <v>0</v>
      </c>
      <c r="L1178">
        <f t="shared" si="75"/>
        <v>1</v>
      </c>
    </row>
    <row r="1179" spans="1:12" x14ac:dyDescent="0.25">
      <c r="A1179" t="s">
        <v>1350</v>
      </c>
      <c r="B1179" t="s">
        <v>1351</v>
      </c>
      <c r="C1179">
        <v>12</v>
      </c>
      <c r="D1179">
        <v>0</v>
      </c>
      <c r="G1179">
        <v>12</v>
      </c>
      <c r="H1179">
        <v>0</v>
      </c>
      <c r="I1179">
        <f t="shared" si="72"/>
        <v>1</v>
      </c>
      <c r="J1179">
        <f t="shared" si="73"/>
        <v>0</v>
      </c>
      <c r="K1179">
        <f t="shared" si="74"/>
        <v>0</v>
      </c>
      <c r="L1179">
        <f t="shared" si="75"/>
        <v>0</v>
      </c>
    </row>
    <row r="1180" spans="1:12" x14ac:dyDescent="0.25">
      <c r="A1180" t="s">
        <v>1352</v>
      </c>
      <c r="B1180" t="s">
        <v>1351</v>
      </c>
      <c r="C1180">
        <v>2</v>
      </c>
      <c r="D1180">
        <v>20</v>
      </c>
      <c r="G1180">
        <v>22</v>
      </c>
      <c r="H1180">
        <v>0</v>
      </c>
      <c r="I1180">
        <f t="shared" si="72"/>
        <v>1</v>
      </c>
      <c r="J1180">
        <f t="shared" si="73"/>
        <v>0</v>
      </c>
      <c r="K1180">
        <f t="shared" si="74"/>
        <v>0</v>
      </c>
      <c r="L1180">
        <f t="shared" si="75"/>
        <v>1</v>
      </c>
    </row>
    <row r="1181" spans="1:12" x14ac:dyDescent="0.25">
      <c r="A1181" t="s">
        <v>1353</v>
      </c>
      <c r="B1181" t="s">
        <v>1351</v>
      </c>
      <c r="C1181">
        <v>18</v>
      </c>
      <c r="D1181">
        <v>52</v>
      </c>
      <c r="G1181">
        <v>70</v>
      </c>
      <c r="H1181">
        <v>0</v>
      </c>
      <c r="I1181">
        <f t="shared" si="72"/>
        <v>1</v>
      </c>
      <c r="J1181">
        <f t="shared" si="73"/>
        <v>0</v>
      </c>
      <c r="K1181">
        <f t="shared" si="74"/>
        <v>0</v>
      </c>
      <c r="L1181">
        <f t="shared" si="75"/>
        <v>1</v>
      </c>
    </row>
    <row r="1182" spans="1:12" x14ac:dyDescent="0.25">
      <c r="A1182" t="s">
        <v>1354</v>
      </c>
      <c r="B1182" t="s">
        <v>288</v>
      </c>
      <c r="C1182">
        <v>6</v>
      </c>
      <c r="D1182">
        <v>6</v>
      </c>
      <c r="G1182">
        <v>12</v>
      </c>
      <c r="H1182">
        <v>0</v>
      </c>
      <c r="I1182">
        <f t="shared" si="72"/>
        <v>1</v>
      </c>
      <c r="J1182">
        <f t="shared" si="73"/>
        <v>0</v>
      </c>
      <c r="K1182">
        <f t="shared" si="74"/>
        <v>0</v>
      </c>
      <c r="L1182">
        <f t="shared" si="75"/>
        <v>1</v>
      </c>
    </row>
    <row r="1183" spans="1:12" x14ac:dyDescent="0.25">
      <c r="A1183" t="s">
        <v>1355</v>
      </c>
      <c r="B1183" t="s">
        <v>288</v>
      </c>
      <c r="C1183">
        <v>2</v>
      </c>
      <c r="D1183">
        <v>6</v>
      </c>
      <c r="G1183">
        <v>8</v>
      </c>
      <c r="H1183">
        <v>0</v>
      </c>
      <c r="I1183">
        <f t="shared" si="72"/>
        <v>1</v>
      </c>
      <c r="J1183">
        <f t="shared" si="73"/>
        <v>0</v>
      </c>
      <c r="K1183">
        <f t="shared" si="74"/>
        <v>0</v>
      </c>
      <c r="L1183">
        <f t="shared" si="75"/>
        <v>1</v>
      </c>
    </row>
    <row r="1184" spans="1:12" x14ac:dyDescent="0.25">
      <c r="A1184" t="s">
        <v>1356</v>
      </c>
      <c r="B1184" t="s">
        <v>288</v>
      </c>
      <c r="C1184">
        <v>4.5</v>
      </c>
      <c r="D1184">
        <v>3</v>
      </c>
      <c r="G1184">
        <v>7.5</v>
      </c>
      <c r="H1184">
        <v>0</v>
      </c>
      <c r="I1184">
        <f t="shared" si="72"/>
        <v>1</v>
      </c>
      <c r="J1184">
        <f t="shared" si="73"/>
        <v>0</v>
      </c>
      <c r="K1184">
        <f t="shared" si="74"/>
        <v>0</v>
      </c>
      <c r="L1184">
        <f t="shared" si="75"/>
        <v>1</v>
      </c>
    </row>
    <row r="1185" spans="1:12" x14ac:dyDescent="0.25">
      <c r="A1185" t="s">
        <v>1357</v>
      </c>
      <c r="B1185" t="s">
        <v>288</v>
      </c>
      <c r="C1185">
        <v>26</v>
      </c>
      <c r="D1185">
        <v>8</v>
      </c>
      <c r="G1185">
        <v>34</v>
      </c>
      <c r="H1185">
        <v>0</v>
      </c>
      <c r="I1185">
        <f t="shared" si="72"/>
        <v>1</v>
      </c>
      <c r="J1185">
        <f t="shared" si="73"/>
        <v>0</v>
      </c>
      <c r="K1185">
        <f t="shared" si="74"/>
        <v>0</v>
      </c>
      <c r="L1185">
        <f t="shared" si="75"/>
        <v>1</v>
      </c>
    </row>
    <row r="1186" spans="1:12" x14ac:dyDescent="0.25">
      <c r="A1186" t="s">
        <v>1358</v>
      </c>
      <c r="B1186" t="s">
        <v>1359</v>
      </c>
      <c r="C1186">
        <v>8</v>
      </c>
      <c r="D1186">
        <v>4</v>
      </c>
      <c r="G1186">
        <v>12</v>
      </c>
      <c r="H1186">
        <v>0</v>
      </c>
      <c r="I1186">
        <f t="shared" si="72"/>
        <v>1</v>
      </c>
      <c r="J1186">
        <f t="shared" si="73"/>
        <v>0</v>
      </c>
      <c r="K1186">
        <f t="shared" si="74"/>
        <v>0</v>
      </c>
      <c r="L1186">
        <f t="shared" si="75"/>
        <v>1</v>
      </c>
    </row>
    <row r="1187" spans="1:12" x14ac:dyDescent="0.25">
      <c r="A1187" t="s">
        <v>1360</v>
      </c>
      <c r="B1187" t="s">
        <v>1359</v>
      </c>
      <c r="C1187">
        <v>11</v>
      </c>
      <c r="D1187">
        <v>0</v>
      </c>
      <c r="G1187">
        <v>11</v>
      </c>
      <c r="H1187">
        <v>0</v>
      </c>
      <c r="I1187">
        <f t="shared" si="72"/>
        <v>1</v>
      </c>
      <c r="J1187">
        <f t="shared" si="73"/>
        <v>0</v>
      </c>
      <c r="K1187">
        <f t="shared" si="74"/>
        <v>0</v>
      </c>
      <c r="L1187">
        <f t="shared" si="75"/>
        <v>0</v>
      </c>
    </row>
    <row r="1188" spans="1:12" x14ac:dyDescent="0.25">
      <c r="A1188" t="s">
        <v>1361</v>
      </c>
      <c r="B1188" t="s">
        <v>1359</v>
      </c>
      <c r="C1188">
        <v>2</v>
      </c>
      <c r="D1188">
        <v>52</v>
      </c>
      <c r="G1188">
        <v>54</v>
      </c>
      <c r="H1188">
        <v>0</v>
      </c>
      <c r="I1188">
        <f t="shared" si="72"/>
        <v>1</v>
      </c>
      <c r="J1188">
        <f t="shared" si="73"/>
        <v>0</v>
      </c>
      <c r="K1188">
        <f t="shared" si="74"/>
        <v>0</v>
      </c>
      <c r="L1188">
        <f t="shared" si="75"/>
        <v>1</v>
      </c>
    </row>
    <row r="1189" spans="1:12" x14ac:dyDescent="0.25">
      <c r="A1189" t="s">
        <v>1362</v>
      </c>
      <c r="B1189" t="s">
        <v>1359</v>
      </c>
      <c r="C1189">
        <v>8</v>
      </c>
      <c r="D1189">
        <v>4</v>
      </c>
      <c r="G1189">
        <v>12</v>
      </c>
      <c r="H1189">
        <v>0</v>
      </c>
      <c r="I1189">
        <f t="shared" si="72"/>
        <v>1</v>
      </c>
      <c r="J1189">
        <f t="shared" si="73"/>
        <v>0</v>
      </c>
      <c r="K1189">
        <f t="shared" si="74"/>
        <v>0</v>
      </c>
      <c r="L1189">
        <f t="shared" si="75"/>
        <v>1</v>
      </c>
    </row>
    <row r="1190" spans="1:12" x14ac:dyDescent="0.25">
      <c r="A1190" t="s">
        <v>1363</v>
      </c>
      <c r="B1190" t="s">
        <v>1359</v>
      </c>
      <c r="C1190">
        <v>27</v>
      </c>
      <c r="D1190">
        <v>18</v>
      </c>
      <c r="G1190">
        <v>45</v>
      </c>
      <c r="H1190">
        <v>0</v>
      </c>
      <c r="I1190">
        <f t="shared" si="72"/>
        <v>1</v>
      </c>
      <c r="J1190">
        <f t="shared" si="73"/>
        <v>0</v>
      </c>
      <c r="K1190">
        <f t="shared" si="74"/>
        <v>0</v>
      </c>
      <c r="L1190">
        <f t="shared" si="75"/>
        <v>1</v>
      </c>
    </row>
    <row r="1191" spans="1:12" x14ac:dyDescent="0.25">
      <c r="A1191" t="s">
        <v>1364</v>
      </c>
      <c r="B1191" t="s">
        <v>1365</v>
      </c>
      <c r="C1191">
        <v>9</v>
      </c>
      <c r="D1191">
        <v>3</v>
      </c>
      <c r="G1191">
        <v>12</v>
      </c>
      <c r="H1191">
        <v>0</v>
      </c>
      <c r="I1191">
        <f t="shared" si="72"/>
        <v>1</v>
      </c>
      <c r="J1191">
        <f t="shared" si="73"/>
        <v>0</v>
      </c>
      <c r="K1191">
        <f t="shared" si="74"/>
        <v>0</v>
      </c>
      <c r="L1191">
        <f t="shared" si="75"/>
        <v>1</v>
      </c>
    </row>
    <row r="1192" spans="1:12" x14ac:dyDescent="0.25">
      <c r="A1192" t="s">
        <v>1366</v>
      </c>
      <c r="B1192" t="s">
        <v>1367</v>
      </c>
      <c r="C1192">
        <v>6</v>
      </c>
      <c r="D1192">
        <v>6</v>
      </c>
      <c r="G1192">
        <v>12</v>
      </c>
      <c r="H1192">
        <v>0</v>
      </c>
      <c r="I1192">
        <f t="shared" si="72"/>
        <v>1</v>
      </c>
      <c r="J1192">
        <f t="shared" si="73"/>
        <v>0</v>
      </c>
      <c r="K1192">
        <f t="shared" si="74"/>
        <v>0</v>
      </c>
      <c r="L1192">
        <f t="shared" si="75"/>
        <v>1</v>
      </c>
    </row>
    <row r="1193" spans="1:12" x14ac:dyDescent="0.25">
      <c r="A1193" t="s">
        <v>1368</v>
      </c>
      <c r="B1193" t="s">
        <v>1369</v>
      </c>
      <c r="C1193">
        <v>3</v>
      </c>
      <c r="D1193">
        <v>8</v>
      </c>
      <c r="G1193">
        <v>11</v>
      </c>
      <c r="H1193">
        <v>0</v>
      </c>
      <c r="I1193">
        <f t="shared" si="72"/>
        <v>1</v>
      </c>
      <c r="J1193">
        <f t="shared" si="73"/>
        <v>0</v>
      </c>
      <c r="K1193">
        <f t="shared" si="74"/>
        <v>0</v>
      </c>
      <c r="L1193">
        <f t="shared" si="75"/>
        <v>1</v>
      </c>
    </row>
    <row r="1194" spans="1:12" x14ac:dyDescent="0.25">
      <c r="A1194" t="s">
        <v>1370</v>
      </c>
      <c r="B1194" t="s">
        <v>1369</v>
      </c>
      <c r="C1194">
        <v>4</v>
      </c>
      <c r="E1194">
        <v>4</v>
      </c>
      <c r="G1194">
        <v>4</v>
      </c>
      <c r="H1194">
        <v>4</v>
      </c>
      <c r="I1194">
        <f t="shared" si="72"/>
        <v>1</v>
      </c>
      <c r="J1194">
        <f t="shared" si="73"/>
        <v>1</v>
      </c>
      <c r="K1194">
        <f t="shared" si="74"/>
        <v>0</v>
      </c>
      <c r="L1194">
        <f t="shared" si="75"/>
        <v>0</v>
      </c>
    </row>
    <row r="1195" spans="1:12" x14ac:dyDescent="0.25">
      <c r="A1195" t="s">
        <v>1371</v>
      </c>
      <c r="B1195" t="s">
        <v>1369</v>
      </c>
      <c r="C1195">
        <v>12</v>
      </c>
      <c r="D1195">
        <v>4</v>
      </c>
      <c r="G1195">
        <v>16</v>
      </c>
      <c r="H1195">
        <v>0</v>
      </c>
      <c r="I1195">
        <f t="shared" si="72"/>
        <v>1</v>
      </c>
      <c r="J1195">
        <f t="shared" si="73"/>
        <v>0</v>
      </c>
      <c r="K1195">
        <f t="shared" si="74"/>
        <v>0</v>
      </c>
      <c r="L1195">
        <f t="shared" si="75"/>
        <v>1</v>
      </c>
    </row>
    <row r="1196" spans="1:12" x14ac:dyDescent="0.25">
      <c r="A1196" t="s">
        <v>1372</v>
      </c>
      <c r="B1196" t="s">
        <v>1373</v>
      </c>
      <c r="C1196">
        <v>6</v>
      </c>
      <c r="D1196">
        <v>1</v>
      </c>
      <c r="G1196">
        <v>7</v>
      </c>
      <c r="H1196">
        <v>0</v>
      </c>
      <c r="I1196">
        <f t="shared" si="72"/>
        <v>1</v>
      </c>
      <c r="J1196">
        <f t="shared" si="73"/>
        <v>0</v>
      </c>
      <c r="K1196">
        <f t="shared" si="74"/>
        <v>0</v>
      </c>
      <c r="L1196">
        <f t="shared" si="75"/>
        <v>1</v>
      </c>
    </row>
    <row r="1197" spans="1:12" x14ac:dyDescent="0.25">
      <c r="A1197" t="s">
        <v>1374</v>
      </c>
      <c r="B1197" t="s">
        <v>1373</v>
      </c>
      <c r="C1197">
        <v>3</v>
      </c>
      <c r="D1197">
        <v>12</v>
      </c>
      <c r="G1197">
        <v>15</v>
      </c>
      <c r="H1197">
        <v>0</v>
      </c>
      <c r="I1197">
        <f t="shared" si="72"/>
        <v>1</v>
      </c>
      <c r="J1197">
        <f t="shared" si="73"/>
        <v>0</v>
      </c>
      <c r="K1197">
        <f t="shared" si="74"/>
        <v>0</v>
      </c>
      <c r="L1197">
        <f t="shared" si="75"/>
        <v>1</v>
      </c>
    </row>
    <row r="1198" spans="1:12" x14ac:dyDescent="0.25">
      <c r="A1198" t="s">
        <v>1375</v>
      </c>
      <c r="B1198" t="s">
        <v>1373</v>
      </c>
      <c r="C1198">
        <v>7</v>
      </c>
      <c r="D1198">
        <v>2</v>
      </c>
      <c r="G1198">
        <v>9</v>
      </c>
      <c r="H1198">
        <v>0</v>
      </c>
      <c r="I1198">
        <f t="shared" si="72"/>
        <v>1</v>
      </c>
      <c r="J1198">
        <f t="shared" si="73"/>
        <v>0</v>
      </c>
      <c r="K1198">
        <f t="shared" si="74"/>
        <v>0</v>
      </c>
      <c r="L1198">
        <f t="shared" si="75"/>
        <v>1</v>
      </c>
    </row>
    <row r="1199" spans="1:12" x14ac:dyDescent="0.25">
      <c r="A1199" t="s">
        <v>1376</v>
      </c>
      <c r="B1199" t="s">
        <v>1373</v>
      </c>
      <c r="C1199">
        <v>9</v>
      </c>
      <c r="D1199">
        <v>0</v>
      </c>
      <c r="G1199">
        <v>9</v>
      </c>
      <c r="H1199">
        <v>0</v>
      </c>
      <c r="I1199">
        <f t="shared" si="72"/>
        <v>1</v>
      </c>
      <c r="J1199">
        <f t="shared" si="73"/>
        <v>0</v>
      </c>
      <c r="K1199">
        <f t="shared" si="74"/>
        <v>0</v>
      </c>
      <c r="L1199">
        <f t="shared" si="75"/>
        <v>0</v>
      </c>
    </row>
    <row r="1200" spans="1:12" x14ac:dyDescent="0.25">
      <c r="A1200" t="s">
        <v>1377</v>
      </c>
      <c r="B1200" t="s">
        <v>1373</v>
      </c>
      <c r="C1200">
        <v>10</v>
      </c>
      <c r="D1200">
        <v>2</v>
      </c>
      <c r="G1200">
        <v>12</v>
      </c>
      <c r="H1200">
        <v>0</v>
      </c>
      <c r="I1200">
        <f t="shared" si="72"/>
        <v>1</v>
      </c>
      <c r="J1200">
        <f t="shared" si="73"/>
        <v>0</v>
      </c>
      <c r="K1200">
        <f t="shared" si="74"/>
        <v>0</v>
      </c>
      <c r="L1200">
        <f t="shared" si="75"/>
        <v>1</v>
      </c>
    </row>
    <row r="1201" spans="1:12" x14ac:dyDescent="0.25">
      <c r="A1201" t="s">
        <v>1378</v>
      </c>
      <c r="B1201" t="s">
        <v>62</v>
      </c>
      <c r="C1201">
        <v>6</v>
      </c>
      <c r="D1201">
        <v>6</v>
      </c>
      <c r="G1201">
        <v>12</v>
      </c>
      <c r="H1201">
        <v>0</v>
      </c>
      <c r="I1201">
        <f t="shared" si="72"/>
        <v>1</v>
      </c>
      <c r="J1201">
        <f t="shared" si="73"/>
        <v>0</v>
      </c>
      <c r="K1201">
        <f t="shared" si="74"/>
        <v>0</v>
      </c>
      <c r="L1201">
        <f t="shared" si="75"/>
        <v>1</v>
      </c>
    </row>
    <row r="1202" spans="1:12" x14ac:dyDescent="0.25">
      <c r="A1202" t="s">
        <v>1379</v>
      </c>
      <c r="B1202" t="s">
        <v>62</v>
      </c>
      <c r="C1202">
        <v>15</v>
      </c>
      <c r="D1202">
        <v>0</v>
      </c>
      <c r="G1202">
        <v>15</v>
      </c>
      <c r="H1202">
        <v>0</v>
      </c>
      <c r="I1202">
        <f t="shared" si="72"/>
        <v>1</v>
      </c>
      <c r="J1202">
        <f t="shared" si="73"/>
        <v>0</v>
      </c>
      <c r="K1202">
        <f t="shared" si="74"/>
        <v>0</v>
      </c>
      <c r="L1202">
        <f t="shared" si="75"/>
        <v>0</v>
      </c>
    </row>
    <row r="1203" spans="1:12" x14ac:dyDescent="0.25">
      <c r="A1203" t="s">
        <v>1380</v>
      </c>
      <c r="B1203" t="s">
        <v>62</v>
      </c>
      <c r="C1203">
        <v>8</v>
      </c>
      <c r="D1203">
        <v>4</v>
      </c>
      <c r="G1203">
        <v>12</v>
      </c>
      <c r="H1203">
        <v>0</v>
      </c>
      <c r="I1203">
        <f t="shared" si="72"/>
        <v>1</v>
      </c>
      <c r="J1203">
        <f t="shared" si="73"/>
        <v>0</v>
      </c>
      <c r="K1203">
        <f t="shared" si="74"/>
        <v>0</v>
      </c>
      <c r="L1203">
        <f t="shared" si="75"/>
        <v>1</v>
      </c>
    </row>
    <row r="1204" spans="1:12" x14ac:dyDescent="0.25">
      <c r="A1204" t="s">
        <v>1381</v>
      </c>
      <c r="B1204" t="s">
        <v>62</v>
      </c>
      <c r="C1204">
        <v>9</v>
      </c>
      <c r="D1204">
        <v>4</v>
      </c>
      <c r="G1204">
        <v>13</v>
      </c>
      <c r="H1204">
        <v>0</v>
      </c>
      <c r="I1204">
        <f t="shared" si="72"/>
        <v>1</v>
      </c>
      <c r="J1204">
        <f t="shared" si="73"/>
        <v>0</v>
      </c>
      <c r="K1204">
        <f t="shared" si="74"/>
        <v>0</v>
      </c>
      <c r="L1204">
        <f t="shared" si="75"/>
        <v>1</v>
      </c>
    </row>
    <row r="1205" spans="1:12" x14ac:dyDescent="0.25">
      <c r="A1205" t="s">
        <v>1382</v>
      </c>
      <c r="B1205" t="s">
        <v>62</v>
      </c>
      <c r="C1205">
        <v>11</v>
      </c>
      <c r="D1205">
        <v>0</v>
      </c>
      <c r="G1205">
        <v>11</v>
      </c>
      <c r="H1205">
        <v>0</v>
      </c>
      <c r="I1205">
        <f t="shared" si="72"/>
        <v>1</v>
      </c>
      <c r="J1205">
        <f t="shared" si="73"/>
        <v>0</v>
      </c>
      <c r="K1205">
        <f t="shared" si="74"/>
        <v>0</v>
      </c>
      <c r="L1205">
        <f t="shared" si="75"/>
        <v>0</v>
      </c>
    </row>
    <row r="1206" spans="1:12" x14ac:dyDescent="0.25">
      <c r="A1206" t="s">
        <v>1383</v>
      </c>
      <c r="B1206" t="s">
        <v>62</v>
      </c>
      <c r="C1206">
        <v>6</v>
      </c>
      <c r="D1206">
        <v>16</v>
      </c>
      <c r="G1206">
        <v>22</v>
      </c>
      <c r="H1206">
        <v>0</v>
      </c>
      <c r="I1206">
        <f t="shared" si="72"/>
        <v>1</v>
      </c>
      <c r="J1206">
        <f t="shared" si="73"/>
        <v>0</v>
      </c>
      <c r="K1206">
        <f t="shared" si="74"/>
        <v>0</v>
      </c>
      <c r="L1206">
        <f t="shared" si="75"/>
        <v>1</v>
      </c>
    </row>
    <row r="1207" spans="1:12" x14ac:dyDescent="0.25">
      <c r="A1207" t="s">
        <v>1384</v>
      </c>
      <c r="B1207" t="s">
        <v>62</v>
      </c>
      <c r="C1207">
        <v>6</v>
      </c>
      <c r="D1207">
        <v>0</v>
      </c>
      <c r="G1207">
        <v>6</v>
      </c>
      <c r="H1207">
        <v>0</v>
      </c>
      <c r="I1207">
        <f t="shared" si="72"/>
        <v>1</v>
      </c>
      <c r="J1207">
        <f t="shared" si="73"/>
        <v>0</v>
      </c>
      <c r="K1207">
        <f t="shared" si="74"/>
        <v>0</v>
      </c>
      <c r="L1207">
        <f t="shared" si="75"/>
        <v>0</v>
      </c>
    </row>
    <row r="1208" spans="1:12" x14ac:dyDescent="0.25">
      <c r="A1208" t="s">
        <v>1385</v>
      </c>
      <c r="B1208" t="s">
        <v>62</v>
      </c>
      <c r="C1208">
        <v>6</v>
      </c>
      <c r="D1208">
        <v>9</v>
      </c>
      <c r="G1208">
        <v>15</v>
      </c>
      <c r="H1208">
        <v>0</v>
      </c>
      <c r="I1208">
        <f t="shared" si="72"/>
        <v>1</v>
      </c>
      <c r="J1208">
        <f t="shared" si="73"/>
        <v>0</v>
      </c>
      <c r="K1208">
        <f t="shared" si="74"/>
        <v>0</v>
      </c>
      <c r="L1208">
        <f t="shared" si="75"/>
        <v>1</v>
      </c>
    </row>
    <row r="1209" spans="1:12" x14ac:dyDescent="0.25">
      <c r="A1209" t="s">
        <v>1386</v>
      </c>
      <c r="B1209" t="s">
        <v>62</v>
      </c>
      <c r="C1209">
        <v>6</v>
      </c>
      <c r="D1209">
        <v>24</v>
      </c>
      <c r="G1209">
        <v>30</v>
      </c>
      <c r="H1209">
        <v>0</v>
      </c>
      <c r="I1209">
        <f t="shared" si="72"/>
        <v>1</v>
      </c>
      <c r="J1209">
        <f t="shared" si="73"/>
        <v>0</v>
      </c>
      <c r="K1209">
        <f t="shared" si="74"/>
        <v>0</v>
      </c>
      <c r="L1209">
        <f t="shared" si="75"/>
        <v>1</v>
      </c>
    </row>
    <row r="1210" spans="1:12" x14ac:dyDescent="0.25">
      <c r="A1210" t="s">
        <v>1387</v>
      </c>
      <c r="B1210" t="s">
        <v>62</v>
      </c>
      <c r="C1210">
        <v>6</v>
      </c>
      <c r="D1210">
        <v>12</v>
      </c>
      <c r="G1210">
        <v>18</v>
      </c>
      <c r="H1210">
        <v>0</v>
      </c>
      <c r="I1210">
        <f t="shared" si="72"/>
        <v>1</v>
      </c>
      <c r="J1210">
        <f t="shared" si="73"/>
        <v>0</v>
      </c>
      <c r="K1210">
        <f t="shared" si="74"/>
        <v>0</v>
      </c>
      <c r="L1210">
        <f t="shared" si="75"/>
        <v>1</v>
      </c>
    </row>
    <row r="1211" spans="1:12" x14ac:dyDescent="0.25">
      <c r="A1211" t="s">
        <v>1388</v>
      </c>
      <c r="B1211" t="s">
        <v>62</v>
      </c>
      <c r="C1211">
        <v>4.5</v>
      </c>
      <c r="D1211">
        <v>4</v>
      </c>
      <c r="G1211">
        <v>8.5</v>
      </c>
      <c r="H1211">
        <v>0</v>
      </c>
      <c r="I1211">
        <f t="shared" si="72"/>
        <v>1</v>
      </c>
      <c r="J1211">
        <f t="shared" si="73"/>
        <v>0</v>
      </c>
      <c r="K1211">
        <f t="shared" si="74"/>
        <v>0</v>
      </c>
      <c r="L1211">
        <f t="shared" si="75"/>
        <v>1</v>
      </c>
    </row>
    <row r="1212" spans="1:12" x14ac:dyDescent="0.25">
      <c r="A1212" t="s">
        <v>1389</v>
      </c>
      <c r="B1212" t="s">
        <v>62</v>
      </c>
      <c r="C1212">
        <v>6</v>
      </c>
      <c r="D1212">
        <v>6</v>
      </c>
      <c r="G1212">
        <v>12</v>
      </c>
      <c r="H1212">
        <v>0</v>
      </c>
      <c r="I1212">
        <f t="shared" si="72"/>
        <v>1</v>
      </c>
      <c r="J1212">
        <f t="shared" si="73"/>
        <v>0</v>
      </c>
      <c r="K1212">
        <f t="shared" si="74"/>
        <v>0</v>
      </c>
      <c r="L1212">
        <f t="shared" si="75"/>
        <v>1</v>
      </c>
    </row>
    <row r="1213" spans="1:12" x14ac:dyDescent="0.25">
      <c r="A1213" t="s">
        <v>1390</v>
      </c>
      <c r="B1213" t="s">
        <v>62</v>
      </c>
      <c r="C1213">
        <v>8</v>
      </c>
      <c r="D1213">
        <v>4</v>
      </c>
      <c r="G1213">
        <v>12</v>
      </c>
      <c r="H1213">
        <v>0</v>
      </c>
      <c r="I1213">
        <f t="shared" si="72"/>
        <v>1</v>
      </c>
      <c r="J1213">
        <f t="shared" si="73"/>
        <v>0</v>
      </c>
      <c r="K1213">
        <f t="shared" si="74"/>
        <v>0</v>
      </c>
      <c r="L1213">
        <f t="shared" si="75"/>
        <v>1</v>
      </c>
    </row>
    <row r="1214" spans="1:12" x14ac:dyDescent="0.25">
      <c r="A1214" t="s">
        <v>1391</v>
      </c>
      <c r="B1214" t="s">
        <v>62</v>
      </c>
      <c r="C1214">
        <v>12</v>
      </c>
      <c r="D1214">
        <v>21</v>
      </c>
      <c r="G1214">
        <v>33</v>
      </c>
      <c r="H1214">
        <v>0</v>
      </c>
      <c r="I1214">
        <f t="shared" si="72"/>
        <v>1</v>
      </c>
      <c r="J1214">
        <f t="shared" si="73"/>
        <v>0</v>
      </c>
      <c r="K1214">
        <f t="shared" si="74"/>
        <v>0</v>
      </c>
      <c r="L1214">
        <f t="shared" si="75"/>
        <v>1</v>
      </c>
    </row>
    <row r="1215" spans="1:12" x14ac:dyDescent="0.25">
      <c r="A1215" t="s">
        <v>1392</v>
      </c>
      <c r="B1215" t="s">
        <v>62</v>
      </c>
      <c r="C1215">
        <v>24</v>
      </c>
      <c r="D1215">
        <v>0</v>
      </c>
      <c r="G1215">
        <v>24</v>
      </c>
      <c r="H1215">
        <v>0</v>
      </c>
      <c r="I1215">
        <f t="shared" si="72"/>
        <v>1</v>
      </c>
      <c r="J1215">
        <f t="shared" si="73"/>
        <v>0</v>
      </c>
      <c r="K1215">
        <f t="shared" si="74"/>
        <v>0</v>
      </c>
      <c r="L1215">
        <f t="shared" si="75"/>
        <v>0</v>
      </c>
    </row>
    <row r="1216" spans="1:12" x14ac:dyDescent="0.25">
      <c r="A1216" t="s">
        <v>1393</v>
      </c>
      <c r="B1216" t="s">
        <v>62</v>
      </c>
      <c r="C1216">
        <v>20</v>
      </c>
      <c r="D1216">
        <v>4</v>
      </c>
      <c r="G1216">
        <v>24</v>
      </c>
      <c r="H1216">
        <v>0</v>
      </c>
      <c r="I1216">
        <f t="shared" si="72"/>
        <v>1</v>
      </c>
      <c r="J1216">
        <f t="shared" si="73"/>
        <v>0</v>
      </c>
      <c r="K1216">
        <f t="shared" si="74"/>
        <v>0</v>
      </c>
      <c r="L1216">
        <f t="shared" si="75"/>
        <v>1</v>
      </c>
    </row>
    <row r="1217" spans="1:12" x14ac:dyDescent="0.25">
      <c r="A1217" t="s">
        <v>1394</v>
      </c>
      <c r="B1217" t="s">
        <v>62</v>
      </c>
      <c r="C1217">
        <v>6</v>
      </c>
      <c r="D1217">
        <v>4</v>
      </c>
      <c r="G1217">
        <v>10</v>
      </c>
      <c r="H1217">
        <v>0</v>
      </c>
      <c r="I1217">
        <f t="shared" si="72"/>
        <v>1</v>
      </c>
      <c r="J1217">
        <f t="shared" si="73"/>
        <v>0</v>
      </c>
      <c r="K1217">
        <f t="shared" si="74"/>
        <v>0</v>
      </c>
      <c r="L1217">
        <f t="shared" si="75"/>
        <v>1</v>
      </c>
    </row>
    <row r="1218" spans="1:12" x14ac:dyDescent="0.25">
      <c r="A1218" t="s">
        <v>1395</v>
      </c>
      <c r="B1218" t="s">
        <v>62</v>
      </c>
      <c r="C1218">
        <v>8</v>
      </c>
      <c r="D1218">
        <v>8</v>
      </c>
      <c r="G1218">
        <v>16</v>
      </c>
      <c r="H1218">
        <v>0</v>
      </c>
      <c r="I1218">
        <f t="shared" si="72"/>
        <v>1</v>
      </c>
      <c r="J1218">
        <f t="shared" si="73"/>
        <v>0</v>
      </c>
      <c r="K1218">
        <f t="shared" si="74"/>
        <v>0</v>
      </c>
      <c r="L1218">
        <f t="shared" si="75"/>
        <v>1</v>
      </c>
    </row>
    <row r="1219" spans="1:12" x14ac:dyDescent="0.25">
      <c r="A1219" t="s">
        <v>1396</v>
      </c>
      <c r="B1219" t="s">
        <v>62</v>
      </c>
      <c r="C1219">
        <v>16</v>
      </c>
      <c r="D1219">
        <v>6</v>
      </c>
      <c r="G1219">
        <v>22</v>
      </c>
      <c r="H1219">
        <v>0</v>
      </c>
      <c r="I1219">
        <f t="shared" ref="I1219:I1282" si="76">IF(C1219&gt;0, 1, 0)</f>
        <v>1</v>
      </c>
      <c r="J1219">
        <f t="shared" ref="J1219:J1282" si="77">IF(E1219&gt;0, 1,0)</f>
        <v>0</v>
      </c>
      <c r="K1219">
        <f t="shared" ref="K1219:K1282" si="78">IF(F1219&gt;0, 1, 0)</f>
        <v>0</v>
      </c>
      <c r="L1219">
        <f t="shared" ref="L1219:L1282" si="79">IF(D1219&gt;0, 1, 0)</f>
        <v>1</v>
      </c>
    </row>
    <row r="1220" spans="1:12" x14ac:dyDescent="0.25">
      <c r="A1220" t="s">
        <v>1397</v>
      </c>
      <c r="B1220" t="s">
        <v>62</v>
      </c>
      <c r="C1220">
        <v>12</v>
      </c>
      <c r="D1220">
        <v>0</v>
      </c>
      <c r="G1220">
        <v>12</v>
      </c>
      <c r="H1220">
        <v>0</v>
      </c>
      <c r="I1220">
        <f t="shared" si="76"/>
        <v>1</v>
      </c>
      <c r="J1220">
        <f t="shared" si="77"/>
        <v>0</v>
      </c>
      <c r="K1220">
        <f t="shared" si="78"/>
        <v>0</v>
      </c>
      <c r="L1220">
        <f t="shared" si="79"/>
        <v>0</v>
      </c>
    </row>
    <row r="1221" spans="1:12" x14ac:dyDescent="0.25">
      <c r="A1221" t="s">
        <v>1398</v>
      </c>
      <c r="B1221" t="s">
        <v>62</v>
      </c>
      <c r="C1221">
        <v>0</v>
      </c>
      <c r="D1221">
        <v>0</v>
      </c>
      <c r="G1221">
        <v>0</v>
      </c>
      <c r="H1221">
        <v>0</v>
      </c>
      <c r="I1221">
        <f t="shared" si="76"/>
        <v>0</v>
      </c>
      <c r="J1221">
        <f t="shared" si="77"/>
        <v>0</v>
      </c>
      <c r="K1221">
        <f t="shared" si="78"/>
        <v>0</v>
      </c>
      <c r="L1221">
        <f t="shared" si="79"/>
        <v>0</v>
      </c>
    </row>
    <row r="1222" spans="1:12" x14ac:dyDescent="0.25">
      <c r="A1222" t="s">
        <v>1399</v>
      </c>
      <c r="B1222" t="s">
        <v>1400</v>
      </c>
      <c r="C1222">
        <v>12</v>
      </c>
      <c r="D1222">
        <v>0</v>
      </c>
      <c r="G1222">
        <v>12</v>
      </c>
      <c r="H1222">
        <v>0</v>
      </c>
      <c r="I1222">
        <f t="shared" si="76"/>
        <v>1</v>
      </c>
      <c r="J1222">
        <f t="shared" si="77"/>
        <v>0</v>
      </c>
      <c r="K1222">
        <f t="shared" si="78"/>
        <v>0</v>
      </c>
      <c r="L1222">
        <f t="shared" si="79"/>
        <v>0</v>
      </c>
    </row>
    <row r="1223" spans="1:12" x14ac:dyDescent="0.25">
      <c r="A1223" t="s">
        <v>1401</v>
      </c>
      <c r="B1223" t="s">
        <v>1400</v>
      </c>
      <c r="C1223">
        <v>6</v>
      </c>
      <c r="D1223">
        <v>8</v>
      </c>
      <c r="G1223">
        <v>14</v>
      </c>
      <c r="H1223">
        <v>0</v>
      </c>
      <c r="I1223">
        <f t="shared" si="76"/>
        <v>1</v>
      </c>
      <c r="J1223">
        <f t="shared" si="77"/>
        <v>0</v>
      </c>
      <c r="K1223">
        <f t="shared" si="78"/>
        <v>0</v>
      </c>
      <c r="L1223">
        <f t="shared" si="79"/>
        <v>1</v>
      </c>
    </row>
    <row r="1224" spans="1:12" x14ac:dyDescent="0.25">
      <c r="A1224" t="s">
        <v>1402</v>
      </c>
      <c r="B1224" t="s">
        <v>294</v>
      </c>
      <c r="C1224">
        <v>6</v>
      </c>
      <c r="D1224">
        <v>6</v>
      </c>
      <c r="G1224">
        <v>12</v>
      </c>
      <c r="H1224">
        <v>0</v>
      </c>
      <c r="I1224">
        <f t="shared" si="76"/>
        <v>1</v>
      </c>
      <c r="J1224">
        <f t="shared" si="77"/>
        <v>0</v>
      </c>
      <c r="K1224">
        <f t="shared" si="78"/>
        <v>0</v>
      </c>
      <c r="L1224">
        <f t="shared" si="79"/>
        <v>1</v>
      </c>
    </row>
    <row r="1225" spans="1:12" x14ac:dyDescent="0.25">
      <c r="A1225" t="s">
        <v>1403</v>
      </c>
      <c r="B1225" t="s">
        <v>294</v>
      </c>
      <c r="C1225">
        <v>9</v>
      </c>
      <c r="D1225">
        <v>0</v>
      </c>
      <c r="G1225">
        <v>9</v>
      </c>
      <c r="H1225">
        <v>0</v>
      </c>
      <c r="I1225">
        <f t="shared" si="76"/>
        <v>1</v>
      </c>
      <c r="J1225">
        <f t="shared" si="77"/>
        <v>0</v>
      </c>
      <c r="K1225">
        <f t="shared" si="78"/>
        <v>0</v>
      </c>
      <c r="L1225">
        <f t="shared" si="79"/>
        <v>0</v>
      </c>
    </row>
    <row r="1226" spans="1:12" x14ac:dyDescent="0.25">
      <c r="A1226" t="s">
        <v>1404</v>
      </c>
      <c r="B1226" t="s">
        <v>294</v>
      </c>
      <c r="C1226">
        <v>8</v>
      </c>
      <c r="D1226">
        <v>4</v>
      </c>
      <c r="G1226">
        <v>12</v>
      </c>
      <c r="H1226">
        <v>0</v>
      </c>
      <c r="I1226">
        <f t="shared" si="76"/>
        <v>1</v>
      </c>
      <c r="J1226">
        <f t="shared" si="77"/>
        <v>0</v>
      </c>
      <c r="K1226">
        <f t="shared" si="78"/>
        <v>0</v>
      </c>
      <c r="L1226">
        <f t="shared" si="79"/>
        <v>1</v>
      </c>
    </row>
    <row r="1227" spans="1:12" x14ac:dyDescent="0.25">
      <c r="A1227" t="s">
        <v>1405</v>
      </c>
      <c r="B1227" t="s">
        <v>294</v>
      </c>
      <c r="C1227">
        <v>15</v>
      </c>
      <c r="D1227">
        <v>15</v>
      </c>
      <c r="G1227">
        <v>30</v>
      </c>
      <c r="H1227">
        <v>0</v>
      </c>
      <c r="I1227">
        <f t="shared" si="76"/>
        <v>1</v>
      </c>
      <c r="J1227">
        <f t="shared" si="77"/>
        <v>0</v>
      </c>
      <c r="K1227">
        <f t="shared" si="78"/>
        <v>0</v>
      </c>
      <c r="L1227">
        <f t="shared" si="79"/>
        <v>1</v>
      </c>
    </row>
    <row r="1228" spans="1:12" x14ac:dyDescent="0.25">
      <c r="A1228" t="s">
        <v>1406</v>
      </c>
      <c r="B1228" t="s">
        <v>1407</v>
      </c>
      <c r="C1228">
        <v>6</v>
      </c>
      <c r="D1228">
        <v>6</v>
      </c>
      <c r="G1228">
        <v>12</v>
      </c>
      <c r="H1228">
        <v>0</v>
      </c>
      <c r="I1228">
        <f t="shared" si="76"/>
        <v>1</v>
      </c>
      <c r="J1228">
        <f t="shared" si="77"/>
        <v>0</v>
      </c>
      <c r="K1228">
        <f t="shared" si="78"/>
        <v>0</v>
      </c>
      <c r="L1228">
        <f t="shared" si="79"/>
        <v>1</v>
      </c>
    </row>
    <row r="1229" spans="1:12" x14ac:dyDescent="0.25">
      <c r="A1229" t="s">
        <v>1408</v>
      </c>
      <c r="B1229" t="s">
        <v>1409</v>
      </c>
      <c r="C1229">
        <v>30</v>
      </c>
      <c r="D1229">
        <v>5</v>
      </c>
      <c r="G1229">
        <v>35</v>
      </c>
      <c r="H1229">
        <v>0</v>
      </c>
      <c r="I1229">
        <f t="shared" si="76"/>
        <v>1</v>
      </c>
      <c r="J1229">
        <f t="shared" si="77"/>
        <v>0</v>
      </c>
      <c r="K1229">
        <f t="shared" si="78"/>
        <v>0</v>
      </c>
      <c r="L1229">
        <f t="shared" si="79"/>
        <v>1</v>
      </c>
    </row>
    <row r="1230" spans="1:12" x14ac:dyDescent="0.25">
      <c r="A1230" t="s">
        <v>1410</v>
      </c>
      <c r="B1230" t="s">
        <v>1409</v>
      </c>
      <c r="C1230">
        <v>25</v>
      </c>
      <c r="D1230">
        <v>5</v>
      </c>
      <c r="G1230">
        <v>30</v>
      </c>
      <c r="H1230">
        <v>0</v>
      </c>
      <c r="I1230">
        <f t="shared" si="76"/>
        <v>1</v>
      </c>
      <c r="J1230">
        <f t="shared" si="77"/>
        <v>0</v>
      </c>
      <c r="K1230">
        <f t="shared" si="78"/>
        <v>0</v>
      </c>
      <c r="L1230">
        <f t="shared" si="79"/>
        <v>1</v>
      </c>
    </row>
    <row r="1231" spans="1:12" x14ac:dyDescent="0.25">
      <c r="A1231" t="s">
        <v>1411</v>
      </c>
      <c r="B1231" t="s">
        <v>1409</v>
      </c>
      <c r="C1231">
        <v>0</v>
      </c>
      <c r="D1231">
        <v>4</v>
      </c>
      <c r="G1231">
        <v>4</v>
      </c>
      <c r="H1231">
        <v>0</v>
      </c>
      <c r="I1231">
        <f t="shared" si="76"/>
        <v>0</v>
      </c>
      <c r="J1231">
        <f t="shared" si="77"/>
        <v>0</v>
      </c>
      <c r="K1231">
        <f t="shared" si="78"/>
        <v>0</v>
      </c>
      <c r="L1231">
        <f t="shared" si="79"/>
        <v>1</v>
      </c>
    </row>
    <row r="1232" spans="1:12" x14ac:dyDescent="0.25">
      <c r="A1232" t="s">
        <v>1412</v>
      </c>
      <c r="B1232" t="s">
        <v>1409</v>
      </c>
      <c r="C1232">
        <v>16</v>
      </c>
      <c r="D1232">
        <v>0</v>
      </c>
      <c r="G1232">
        <v>16</v>
      </c>
      <c r="H1232">
        <v>0</v>
      </c>
      <c r="I1232">
        <f t="shared" si="76"/>
        <v>1</v>
      </c>
      <c r="J1232">
        <f t="shared" si="77"/>
        <v>0</v>
      </c>
      <c r="K1232">
        <f t="shared" si="78"/>
        <v>0</v>
      </c>
      <c r="L1232">
        <f t="shared" si="79"/>
        <v>0</v>
      </c>
    </row>
    <row r="1233" spans="1:12" x14ac:dyDescent="0.25">
      <c r="A1233" t="s">
        <v>1413</v>
      </c>
      <c r="B1233" t="s">
        <v>1409</v>
      </c>
      <c r="C1233">
        <v>10</v>
      </c>
      <c r="D1233">
        <v>0</v>
      </c>
      <c r="G1233">
        <v>10</v>
      </c>
      <c r="H1233">
        <v>0</v>
      </c>
      <c r="I1233">
        <f t="shared" si="76"/>
        <v>1</v>
      </c>
      <c r="J1233">
        <f t="shared" si="77"/>
        <v>0</v>
      </c>
      <c r="K1233">
        <f t="shared" si="78"/>
        <v>0</v>
      </c>
      <c r="L1233">
        <f t="shared" si="79"/>
        <v>0</v>
      </c>
    </row>
    <row r="1234" spans="1:12" x14ac:dyDescent="0.25">
      <c r="A1234" t="s">
        <v>1414</v>
      </c>
      <c r="B1234" t="s">
        <v>1409</v>
      </c>
      <c r="C1234">
        <v>13</v>
      </c>
      <c r="D1234">
        <v>6.5</v>
      </c>
      <c r="G1234">
        <v>19.5</v>
      </c>
      <c r="H1234">
        <v>0</v>
      </c>
      <c r="I1234">
        <f t="shared" si="76"/>
        <v>1</v>
      </c>
      <c r="J1234">
        <f t="shared" si="77"/>
        <v>0</v>
      </c>
      <c r="K1234">
        <f t="shared" si="78"/>
        <v>0</v>
      </c>
      <c r="L1234">
        <f t="shared" si="79"/>
        <v>1</v>
      </c>
    </row>
    <row r="1235" spans="1:12" x14ac:dyDescent="0.25">
      <c r="A1235" t="s">
        <v>1415</v>
      </c>
      <c r="B1235" t="s">
        <v>1409</v>
      </c>
      <c r="C1235">
        <v>4</v>
      </c>
      <c r="D1235">
        <v>6</v>
      </c>
      <c r="G1235">
        <v>10</v>
      </c>
      <c r="H1235">
        <v>0</v>
      </c>
      <c r="I1235">
        <f t="shared" si="76"/>
        <v>1</v>
      </c>
      <c r="J1235">
        <f t="shared" si="77"/>
        <v>0</v>
      </c>
      <c r="K1235">
        <f t="shared" si="78"/>
        <v>0</v>
      </c>
      <c r="L1235">
        <f t="shared" si="79"/>
        <v>1</v>
      </c>
    </row>
    <row r="1236" spans="1:12" x14ac:dyDescent="0.25">
      <c r="A1236" t="s">
        <v>1416</v>
      </c>
      <c r="B1236" t="s">
        <v>1417</v>
      </c>
      <c r="C1236">
        <v>8</v>
      </c>
      <c r="D1236">
        <v>4</v>
      </c>
      <c r="G1236">
        <v>12</v>
      </c>
      <c r="H1236">
        <v>0</v>
      </c>
      <c r="I1236">
        <f t="shared" si="76"/>
        <v>1</v>
      </c>
      <c r="J1236">
        <f t="shared" si="77"/>
        <v>0</v>
      </c>
      <c r="K1236">
        <f t="shared" si="78"/>
        <v>0</v>
      </c>
      <c r="L1236">
        <f t="shared" si="79"/>
        <v>1</v>
      </c>
    </row>
    <row r="1237" spans="1:12" x14ac:dyDescent="0.25">
      <c r="A1237" t="s">
        <v>1418</v>
      </c>
      <c r="B1237" t="s">
        <v>1419</v>
      </c>
      <c r="C1237">
        <v>0</v>
      </c>
      <c r="D1237">
        <v>12</v>
      </c>
      <c r="G1237">
        <v>12</v>
      </c>
      <c r="H1237">
        <v>0</v>
      </c>
      <c r="I1237">
        <f t="shared" si="76"/>
        <v>0</v>
      </c>
      <c r="J1237">
        <f t="shared" si="77"/>
        <v>0</v>
      </c>
      <c r="K1237">
        <f t="shared" si="78"/>
        <v>0</v>
      </c>
      <c r="L1237">
        <f t="shared" si="79"/>
        <v>1</v>
      </c>
    </row>
    <row r="1238" spans="1:12" x14ac:dyDescent="0.25">
      <c r="A1238" t="s">
        <v>1420</v>
      </c>
      <c r="B1238" t="s">
        <v>1419</v>
      </c>
      <c r="C1238">
        <v>8</v>
      </c>
      <c r="D1238">
        <v>0</v>
      </c>
      <c r="G1238">
        <v>8</v>
      </c>
      <c r="H1238">
        <v>0</v>
      </c>
      <c r="I1238">
        <f t="shared" si="76"/>
        <v>1</v>
      </c>
      <c r="J1238">
        <f t="shared" si="77"/>
        <v>0</v>
      </c>
      <c r="K1238">
        <f t="shared" si="78"/>
        <v>0</v>
      </c>
      <c r="L1238">
        <f t="shared" si="79"/>
        <v>0</v>
      </c>
    </row>
    <row r="1239" spans="1:12" x14ac:dyDescent="0.25">
      <c r="A1239" t="s">
        <v>1421</v>
      </c>
      <c r="B1239" t="s">
        <v>1419</v>
      </c>
      <c r="C1239">
        <v>6</v>
      </c>
      <c r="D1239">
        <v>12</v>
      </c>
      <c r="G1239">
        <v>18</v>
      </c>
      <c r="H1239">
        <v>0</v>
      </c>
      <c r="I1239">
        <f t="shared" si="76"/>
        <v>1</v>
      </c>
      <c r="J1239">
        <f t="shared" si="77"/>
        <v>0</v>
      </c>
      <c r="K1239">
        <f t="shared" si="78"/>
        <v>0</v>
      </c>
      <c r="L1239">
        <f t="shared" si="79"/>
        <v>1</v>
      </c>
    </row>
    <row r="1240" spans="1:12" x14ac:dyDescent="0.25">
      <c r="A1240" t="s">
        <v>1422</v>
      </c>
      <c r="B1240" t="s">
        <v>1419</v>
      </c>
      <c r="C1240">
        <v>12</v>
      </c>
      <c r="D1240">
        <v>12</v>
      </c>
      <c r="G1240">
        <v>24</v>
      </c>
      <c r="H1240">
        <v>0</v>
      </c>
      <c r="I1240">
        <f t="shared" si="76"/>
        <v>1</v>
      </c>
      <c r="J1240">
        <f t="shared" si="77"/>
        <v>0</v>
      </c>
      <c r="K1240">
        <f t="shared" si="78"/>
        <v>0</v>
      </c>
      <c r="L1240">
        <f t="shared" si="79"/>
        <v>1</v>
      </c>
    </row>
    <row r="1241" spans="1:12" x14ac:dyDescent="0.25">
      <c r="A1241" t="s">
        <v>1423</v>
      </c>
      <c r="B1241" t="s">
        <v>1424</v>
      </c>
      <c r="C1241">
        <v>12</v>
      </c>
      <c r="D1241">
        <v>12</v>
      </c>
      <c r="G1241">
        <v>24</v>
      </c>
      <c r="H1241">
        <v>0</v>
      </c>
      <c r="I1241">
        <f t="shared" si="76"/>
        <v>1</v>
      </c>
      <c r="J1241">
        <f t="shared" si="77"/>
        <v>0</v>
      </c>
      <c r="K1241">
        <f t="shared" si="78"/>
        <v>0</v>
      </c>
      <c r="L1241">
        <f t="shared" si="79"/>
        <v>1</v>
      </c>
    </row>
    <row r="1242" spans="1:12" x14ac:dyDescent="0.25">
      <c r="A1242" t="s">
        <v>1425</v>
      </c>
      <c r="B1242" t="s">
        <v>1424</v>
      </c>
      <c r="C1242">
        <v>12</v>
      </c>
      <c r="D1242">
        <v>0</v>
      </c>
      <c r="G1242">
        <v>12</v>
      </c>
      <c r="H1242">
        <v>0</v>
      </c>
      <c r="I1242">
        <f t="shared" si="76"/>
        <v>1</v>
      </c>
      <c r="J1242">
        <f t="shared" si="77"/>
        <v>0</v>
      </c>
      <c r="K1242">
        <f t="shared" si="78"/>
        <v>0</v>
      </c>
      <c r="L1242">
        <f t="shared" si="79"/>
        <v>0</v>
      </c>
    </row>
    <row r="1243" spans="1:12" x14ac:dyDescent="0.25">
      <c r="A1243" t="s">
        <v>1426</v>
      </c>
      <c r="B1243" t="s">
        <v>1427</v>
      </c>
      <c r="C1243">
        <v>16</v>
      </c>
      <c r="D1243">
        <v>0</v>
      </c>
      <c r="G1243">
        <v>16</v>
      </c>
      <c r="H1243">
        <v>0</v>
      </c>
      <c r="I1243">
        <f t="shared" si="76"/>
        <v>1</v>
      </c>
      <c r="J1243">
        <f t="shared" si="77"/>
        <v>0</v>
      </c>
      <c r="K1243">
        <f t="shared" si="78"/>
        <v>0</v>
      </c>
      <c r="L1243">
        <f t="shared" si="79"/>
        <v>0</v>
      </c>
    </row>
    <row r="1244" spans="1:12" x14ac:dyDescent="0.25">
      <c r="A1244" t="s">
        <v>1428</v>
      </c>
      <c r="B1244" t="s">
        <v>1427</v>
      </c>
      <c r="C1244">
        <v>1</v>
      </c>
      <c r="D1244">
        <v>0</v>
      </c>
      <c r="G1244">
        <v>1</v>
      </c>
      <c r="H1244">
        <v>0</v>
      </c>
      <c r="I1244">
        <f t="shared" si="76"/>
        <v>1</v>
      </c>
      <c r="J1244">
        <f t="shared" si="77"/>
        <v>0</v>
      </c>
      <c r="K1244">
        <f t="shared" si="78"/>
        <v>0</v>
      </c>
      <c r="L1244">
        <f t="shared" si="79"/>
        <v>0</v>
      </c>
    </row>
    <row r="1245" spans="1:12" x14ac:dyDescent="0.25">
      <c r="A1245" t="s">
        <v>1429</v>
      </c>
      <c r="B1245" t="s">
        <v>1430</v>
      </c>
      <c r="C1245">
        <v>18</v>
      </c>
      <c r="D1245">
        <v>2</v>
      </c>
      <c r="G1245">
        <v>20</v>
      </c>
      <c r="H1245">
        <v>0</v>
      </c>
      <c r="I1245">
        <f t="shared" si="76"/>
        <v>1</v>
      </c>
      <c r="J1245">
        <f t="shared" si="77"/>
        <v>0</v>
      </c>
      <c r="K1245">
        <f t="shared" si="78"/>
        <v>0</v>
      </c>
      <c r="L1245">
        <f t="shared" si="79"/>
        <v>1</v>
      </c>
    </row>
    <row r="1246" spans="1:12" x14ac:dyDescent="0.25">
      <c r="A1246" t="s">
        <v>1431</v>
      </c>
      <c r="B1246" t="s">
        <v>64</v>
      </c>
      <c r="C1246">
        <v>11</v>
      </c>
      <c r="D1246">
        <v>6</v>
      </c>
      <c r="G1246">
        <v>17</v>
      </c>
      <c r="H1246">
        <v>0</v>
      </c>
      <c r="I1246">
        <f t="shared" si="76"/>
        <v>1</v>
      </c>
      <c r="J1246">
        <f t="shared" si="77"/>
        <v>0</v>
      </c>
      <c r="K1246">
        <f t="shared" si="78"/>
        <v>0</v>
      </c>
      <c r="L1246">
        <f t="shared" si="79"/>
        <v>1</v>
      </c>
    </row>
    <row r="1247" spans="1:12" x14ac:dyDescent="0.25">
      <c r="A1247" t="s">
        <v>1432</v>
      </c>
      <c r="B1247" t="s">
        <v>64</v>
      </c>
      <c r="C1247">
        <v>12</v>
      </c>
      <c r="D1247">
        <v>5.5</v>
      </c>
      <c r="G1247">
        <v>17.5</v>
      </c>
      <c r="H1247">
        <v>0</v>
      </c>
      <c r="I1247">
        <f t="shared" si="76"/>
        <v>1</v>
      </c>
      <c r="J1247">
        <f t="shared" si="77"/>
        <v>0</v>
      </c>
      <c r="K1247">
        <f t="shared" si="78"/>
        <v>0</v>
      </c>
      <c r="L1247">
        <f t="shared" si="79"/>
        <v>1</v>
      </c>
    </row>
    <row r="1248" spans="1:12" x14ac:dyDescent="0.25">
      <c r="A1248" t="s">
        <v>1433</v>
      </c>
      <c r="B1248" t="s">
        <v>64</v>
      </c>
      <c r="C1248">
        <v>8</v>
      </c>
      <c r="D1248">
        <v>0</v>
      </c>
      <c r="G1248">
        <v>8</v>
      </c>
      <c r="H1248">
        <v>0</v>
      </c>
      <c r="I1248">
        <f t="shared" si="76"/>
        <v>1</v>
      </c>
      <c r="J1248">
        <f t="shared" si="77"/>
        <v>0</v>
      </c>
      <c r="K1248">
        <f t="shared" si="78"/>
        <v>0</v>
      </c>
      <c r="L1248">
        <f t="shared" si="79"/>
        <v>0</v>
      </c>
    </row>
    <row r="1249" spans="1:12" x14ac:dyDescent="0.25">
      <c r="A1249" t="s">
        <v>1434</v>
      </c>
      <c r="B1249" t="s">
        <v>64</v>
      </c>
      <c r="C1249">
        <v>14</v>
      </c>
      <c r="D1249">
        <v>26</v>
      </c>
      <c r="G1249">
        <v>40</v>
      </c>
      <c r="H1249">
        <v>0</v>
      </c>
      <c r="I1249">
        <f t="shared" si="76"/>
        <v>1</v>
      </c>
      <c r="J1249">
        <f t="shared" si="77"/>
        <v>0</v>
      </c>
      <c r="K1249">
        <f t="shared" si="78"/>
        <v>0</v>
      </c>
      <c r="L1249">
        <f t="shared" si="79"/>
        <v>1</v>
      </c>
    </row>
    <row r="1250" spans="1:12" x14ac:dyDescent="0.25">
      <c r="A1250" t="s">
        <v>1435</v>
      </c>
      <c r="B1250" t="s">
        <v>64</v>
      </c>
      <c r="C1250">
        <v>3</v>
      </c>
      <c r="D1250">
        <v>9</v>
      </c>
      <c r="G1250">
        <v>12</v>
      </c>
      <c r="H1250">
        <v>0</v>
      </c>
      <c r="I1250">
        <f t="shared" si="76"/>
        <v>1</v>
      </c>
      <c r="J1250">
        <f t="shared" si="77"/>
        <v>0</v>
      </c>
      <c r="K1250">
        <f t="shared" si="78"/>
        <v>0</v>
      </c>
      <c r="L1250">
        <f t="shared" si="79"/>
        <v>1</v>
      </c>
    </row>
    <row r="1251" spans="1:12" x14ac:dyDescent="0.25">
      <c r="A1251" t="s">
        <v>1436</v>
      </c>
      <c r="B1251" t="s">
        <v>64</v>
      </c>
      <c r="C1251">
        <v>9</v>
      </c>
      <c r="D1251">
        <v>25.5</v>
      </c>
      <c r="G1251">
        <v>34.5</v>
      </c>
      <c r="H1251">
        <v>0</v>
      </c>
      <c r="I1251">
        <f t="shared" si="76"/>
        <v>1</v>
      </c>
      <c r="J1251">
        <f t="shared" si="77"/>
        <v>0</v>
      </c>
      <c r="K1251">
        <f t="shared" si="78"/>
        <v>0</v>
      </c>
      <c r="L1251">
        <f t="shared" si="79"/>
        <v>1</v>
      </c>
    </row>
    <row r="1252" spans="1:12" x14ac:dyDescent="0.25">
      <c r="A1252" t="s">
        <v>1437</v>
      </c>
      <c r="B1252" t="s">
        <v>64</v>
      </c>
      <c r="C1252">
        <v>26</v>
      </c>
      <c r="D1252">
        <v>26</v>
      </c>
      <c r="G1252">
        <v>52</v>
      </c>
      <c r="H1252">
        <v>0</v>
      </c>
      <c r="I1252">
        <f t="shared" si="76"/>
        <v>1</v>
      </c>
      <c r="J1252">
        <f t="shared" si="77"/>
        <v>0</v>
      </c>
      <c r="K1252">
        <f t="shared" si="78"/>
        <v>0</v>
      </c>
      <c r="L1252">
        <f t="shared" si="79"/>
        <v>1</v>
      </c>
    </row>
    <row r="1253" spans="1:12" x14ac:dyDescent="0.25">
      <c r="A1253" t="s">
        <v>1438</v>
      </c>
      <c r="B1253" t="s">
        <v>64</v>
      </c>
      <c r="C1253">
        <v>4</v>
      </c>
      <c r="D1253">
        <v>2</v>
      </c>
      <c r="G1253">
        <v>6</v>
      </c>
      <c r="H1253">
        <v>0</v>
      </c>
      <c r="I1253">
        <f t="shared" si="76"/>
        <v>1</v>
      </c>
      <c r="J1253">
        <f t="shared" si="77"/>
        <v>0</v>
      </c>
      <c r="K1253">
        <f t="shared" si="78"/>
        <v>0</v>
      </c>
      <c r="L1253">
        <f t="shared" si="79"/>
        <v>1</v>
      </c>
    </row>
    <row r="1254" spans="1:12" x14ac:dyDescent="0.25">
      <c r="A1254" t="s">
        <v>1439</v>
      </c>
      <c r="B1254" t="s">
        <v>64</v>
      </c>
      <c r="C1254">
        <v>4</v>
      </c>
      <c r="D1254">
        <v>0</v>
      </c>
      <c r="G1254">
        <v>4</v>
      </c>
      <c r="H1254">
        <v>0</v>
      </c>
      <c r="I1254">
        <f t="shared" si="76"/>
        <v>1</v>
      </c>
      <c r="J1254">
        <f t="shared" si="77"/>
        <v>0</v>
      </c>
      <c r="K1254">
        <f t="shared" si="78"/>
        <v>0</v>
      </c>
      <c r="L1254">
        <f t="shared" si="79"/>
        <v>0</v>
      </c>
    </row>
    <row r="1255" spans="1:12" x14ac:dyDescent="0.25">
      <c r="A1255" t="s">
        <v>1440</v>
      </c>
      <c r="B1255" t="s">
        <v>64</v>
      </c>
      <c r="C1255">
        <v>16</v>
      </c>
      <c r="D1255">
        <v>0</v>
      </c>
      <c r="G1255">
        <v>16</v>
      </c>
      <c r="H1255">
        <v>0</v>
      </c>
      <c r="I1255">
        <f t="shared" si="76"/>
        <v>1</v>
      </c>
      <c r="J1255">
        <f t="shared" si="77"/>
        <v>0</v>
      </c>
      <c r="K1255">
        <f t="shared" si="78"/>
        <v>0</v>
      </c>
      <c r="L1255">
        <f t="shared" si="79"/>
        <v>0</v>
      </c>
    </row>
    <row r="1256" spans="1:12" x14ac:dyDescent="0.25">
      <c r="A1256" t="s">
        <v>1441</v>
      </c>
      <c r="B1256" t="s">
        <v>64</v>
      </c>
      <c r="C1256">
        <v>2</v>
      </c>
      <c r="D1256">
        <v>6</v>
      </c>
      <c r="G1256">
        <v>8</v>
      </c>
      <c r="H1256">
        <v>0</v>
      </c>
      <c r="I1256">
        <f t="shared" si="76"/>
        <v>1</v>
      </c>
      <c r="J1256">
        <f t="shared" si="77"/>
        <v>0</v>
      </c>
      <c r="K1256">
        <f t="shared" si="78"/>
        <v>0</v>
      </c>
      <c r="L1256">
        <f t="shared" si="79"/>
        <v>1</v>
      </c>
    </row>
    <row r="1257" spans="1:12" x14ac:dyDescent="0.25">
      <c r="A1257" t="s">
        <v>1442</v>
      </c>
      <c r="B1257" t="s">
        <v>64</v>
      </c>
      <c r="C1257">
        <v>12</v>
      </c>
      <c r="D1257">
        <v>0</v>
      </c>
      <c r="G1257">
        <v>12</v>
      </c>
      <c r="H1257">
        <v>0</v>
      </c>
      <c r="I1257">
        <f t="shared" si="76"/>
        <v>1</v>
      </c>
      <c r="J1257">
        <f t="shared" si="77"/>
        <v>0</v>
      </c>
      <c r="K1257">
        <f t="shared" si="78"/>
        <v>0</v>
      </c>
      <c r="L1257">
        <f t="shared" si="79"/>
        <v>0</v>
      </c>
    </row>
    <row r="1258" spans="1:12" x14ac:dyDescent="0.25">
      <c r="A1258" t="s">
        <v>1443</v>
      </c>
      <c r="B1258" t="s">
        <v>64</v>
      </c>
      <c r="C1258">
        <v>5</v>
      </c>
      <c r="D1258">
        <v>9</v>
      </c>
      <c r="G1258">
        <v>14</v>
      </c>
      <c r="H1258">
        <v>0</v>
      </c>
      <c r="I1258">
        <f t="shared" si="76"/>
        <v>1</v>
      </c>
      <c r="J1258">
        <f t="shared" si="77"/>
        <v>0</v>
      </c>
      <c r="K1258">
        <f t="shared" si="78"/>
        <v>0</v>
      </c>
      <c r="L1258">
        <f t="shared" si="79"/>
        <v>1</v>
      </c>
    </row>
    <row r="1259" spans="1:12" x14ac:dyDescent="0.25">
      <c r="A1259" t="s">
        <v>1444</v>
      </c>
      <c r="B1259" t="s">
        <v>64</v>
      </c>
      <c r="C1259">
        <v>11</v>
      </c>
      <c r="D1259">
        <v>2</v>
      </c>
      <c r="G1259">
        <v>13</v>
      </c>
      <c r="H1259">
        <v>0</v>
      </c>
      <c r="I1259">
        <f t="shared" si="76"/>
        <v>1</v>
      </c>
      <c r="J1259">
        <f t="shared" si="77"/>
        <v>0</v>
      </c>
      <c r="K1259">
        <f t="shared" si="78"/>
        <v>0</v>
      </c>
      <c r="L1259">
        <f t="shared" si="79"/>
        <v>1</v>
      </c>
    </row>
    <row r="1260" spans="1:12" x14ac:dyDescent="0.25">
      <c r="A1260" t="s">
        <v>1445</v>
      </c>
      <c r="B1260" t="s">
        <v>64</v>
      </c>
      <c r="C1260">
        <v>4</v>
      </c>
      <c r="D1260">
        <v>5</v>
      </c>
      <c r="G1260">
        <v>9</v>
      </c>
      <c r="H1260">
        <v>0</v>
      </c>
      <c r="I1260">
        <f t="shared" si="76"/>
        <v>1</v>
      </c>
      <c r="J1260">
        <f t="shared" si="77"/>
        <v>0</v>
      </c>
      <c r="K1260">
        <f t="shared" si="78"/>
        <v>0</v>
      </c>
      <c r="L1260">
        <f t="shared" si="79"/>
        <v>1</v>
      </c>
    </row>
    <row r="1261" spans="1:12" x14ac:dyDescent="0.25">
      <c r="A1261" t="s">
        <v>1446</v>
      </c>
      <c r="B1261" t="s">
        <v>64</v>
      </c>
      <c r="C1261">
        <v>26</v>
      </c>
      <c r="D1261">
        <v>12</v>
      </c>
      <c r="G1261">
        <v>38</v>
      </c>
      <c r="H1261">
        <v>0</v>
      </c>
      <c r="I1261">
        <f t="shared" si="76"/>
        <v>1</v>
      </c>
      <c r="J1261">
        <f t="shared" si="77"/>
        <v>0</v>
      </c>
      <c r="K1261">
        <f t="shared" si="78"/>
        <v>0</v>
      </c>
      <c r="L1261">
        <f t="shared" si="79"/>
        <v>1</v>
      </c>
    </row>
    <row r="1262" spans="1:12" x14ac:dyDescent="0.25">
      <c r="A1262" t="s">
        <v>1447</v>
      </c>
      <c r="B1262" t="s">
        <v>64</v>
      </c>
      <c r="C1262">
        <v>10</v>
      </c>
      <c r="D1262">
        <v>0</v>
      </c>
      <c r="G1262">
        <v>10</v>
      </c>
      <c r="H1262">
        <v>0</v>
      </c>
      <c r="I1262">
        <f t="shared" si="76"/>
        <v>1</v>
      </c>
      <c r="J1262">
        <f t="shared" si="77"/>
        <v>0</v>
      </c>
      <c r="K1262">
        <f t="shared" si="78"/>
        <v>0</v>
      </c>
      <c r="L1262">
        <f t="shared" si="79"/>
        <v>0</v>
      </c>
    </row>
    <row r="1263" spans="1:12" x14ac:dyDescent="0.25">
      <c r="A1263" t="s">
        <v>1448</v>
      </c>
      <c r="B1263" t="s">
        <v>64</v>
      </c>
      <c r="C1263">
        <v>16</v>
      </c>
      <c r="D1263">
        <v>0</v>
      </c>
      <c r="G1263">
        <v>16</v>
      </c>
      <c r="H1263">
        <v>0</v>
      </c>
      <c r="I1263">
        <f t="shared" si="76"/>
        <v>1</v>
      </c>
      <c r="J1263">
        <f t="shared" si="77"/>
        <v>0</v>
      </c>
      <c r="K1263">
        <f t="shared" si="78"/>
        <v>0</v>
      </c>
      <c r="L1263">
        <f t="shared" si="79"/>
        <v>0</v>
      </c>
    </row>
    <row r="1264" spans="1:12" x14ac:dyDescent="0.25">
      <c r="A1264" t="s">
        <v>1449</v>
      </c>
      <c r="B1264" t="s">
        <v>64</v>
      </c>
      <c r="C1264">
        <v>4</v>
      </c>
      <c r="D1264">
        <v>0</v>
      </c>
      <c r="G1264">
        <v>4</v>
      </c>
      <c r="H1264">
        <v>0</v>
      </c>
      <c r="I1264">
        <f t="shared" si="76"/>
        <v>1</v>
      </c>
      <c r="J1264">
        <f t="shared" si="77"/>
        <v>0</v>
      </c>
      <c r="K1264">
        <f t="shared" si="78"/>
        <v>0</v>
      </c>
      <c r="L1264">
        <f t="shared" si="79"/>
        <v>0</v>
      </c>
    </row>
    <row r="1265" spans="1:12" x14ac:dyDescent="0.25">
      <c r="A1265" t="s">
        <v>1450</v>
      </c>
      <c r="B1265" t="s">
        <v>64</v>
      </c>
      <c r="C1265">
        <v>17</v>
      </c>
      <c r="D1265">
        <v>20</v>
      </c>
      <c r="G1265">
        <v>37</v>
      </c>
      <c r="H1265">
        <v>0</v>
      </c>
      <c r="I1265">
        <f t="shared" si="76"/>
        <v>1</v>
      </c>
      <c r="J1265">
        <f t="shared" si="77"/>
        <v>0</v>
      </c>
      <c r="K1265">
        <f t="shared" si="78"/>
        <v>0</v>
      </c>
      <c r="L1265">
        <f t="shared" si="79"/>
        <v>1</v>
      </c>
    </row>
    <row r="1266" spans="1:12" x14ac:dyDescent="0.25">
      <c r="A1266" t="s">
        <v>1451</v>
      </c>
      <c r="B1266" t="s">
        <v>64</v>
      </c>
      <c r="C1266">
        <v>6</v>
      </c>
      <c r="D1266">
        <v>5</v>
      </c>
      <c r="G1266">
        <v>11</v>
      </c>
      <c r="H1266">
        <v>0</v>
      </c>
      <c r="I1266">
        <f t="shared" si="76"/>
        <v>1</v>
      </c>
      <c r="J1266">
        <f t="shared" si="77"/>
        <v>0</v>
      </c>
      <c r="K1266">
        <f t="shared" si="78"/>
        <v>0</v>
      </c>
      <c r="L1266">
        <f t="shared" si="79"/>
        <v>1</v>
      </c>
    </row>
    <row r="1267" spans="1:12" x14ac:dyDescent="0.25">
      <c r="A1267" t="s">
        <v>1452</v>
      </c>
      <c r="B1267" t="s">
        <v>64</v>
      </c>
      <c r="C1267">
        <v>4</v>
      </c>
      <c r="D1267">
        <v>8</v>
      </c>
      <c r="G1267">
        <v>12</v>
      </c>
      <c r="H1267">
        <v>0</v>
      </c>
      <c r="I1267">
        <f t="shared" si="76"/>
        <v>1</v>
      </c>
      <c r="J1267">
        <f t="shared" si="77"/>
        <v>0</v>
      </c>
      <c r="K1267">
        <f t="shared" si="78"/>
        <v>0</v>
      </c>
      <c r="L1267">
        <f t="shared" si="79"/>
        <v>1</v>
      </c>
    </row>
    <row r="1268" spans="1:12" x14ac:dyDescent="0.25">
      <c r="A1268" t="s">
        <v>1453</v>
      </c>
      <c r="B1268" t="s">
        <v>64</v>
      </c>
      <c r="C1268">
        <v>6</v>
      </c>
      <c r="D1268">
        <v>0</v>
      </c>
      <c r="G1268">
        <v>6</v>
      </c>
      <c r="H1268">
        <v>0</v>
      </c>
      <c r="I1268">
        <f t="shared" si="76"/>
        <v>1</v>
      </c>
      <c r="J1268">
        <f t="shared" si="77"/>
        <v>0</v>
      </c>
      <c r="K1268">
        <f t="shared" si="78"/>
        <v>0</v>
      </c>
      <c r="L1268">
        <f t="shared" si="79"/>
        <v>0</v>
      </c>
    </row>
    <row r="1269" spans="1:12" x14ac:dyDescent="0.25">
      <c r="A1269" t="s">
        <v>1454</v>
      </c>
      <c r="B1269" t="s">
        <v>64</v>
      </c>
      <c r="C1269">
        <v>4</v>
      </c>
      <c r="D1269">
        <v>8</v>
      </c>
      <c r="G1269">
        <v>12</v>
      </c>
      <c r="H1269">
        <v>0</v>
      </c>
      <c r="I1269">
        <f t="shared" si="76"/>
        <v>1</v>
      </c>
      <c r="J1269">
        <f t="shared" si="77"/>
        <v>0</v>
      </c>
      <c r="K1269">
        <f t="shared" si="78"/>
        <v>0</v>
      </c>
      <c r="L1269">
        <f t="shared" si="79"/>
        <v>1</v>
      </c>
    </row>
    <row r="1270" spans="1:12" x14ac:dyDescent="0.25">
      <c r="A1270" t="s">
        <v>1455</v>
      </c>
      <c r="B1270" t="s">
        <v>64</v>
      </c>
      <c r="C1270">
        <v>8</v>
      </c>
      <c r="D1270">
        <v>8</v>
      </c>
      <c r="G1270">
        <v>16</v>
      </c>
      <c r="H1270">
        <v>0</v>
      </c>
      <c r="I1270">
        <f t="shared" si="76"/>
        <v>1</v>
      </c>
      <c r="J1270">
        <f t="shared" si="77"/>
        <v>0</v>
      </c>
      <c r="K1270">
        <f t="shared" si="78"/>
        <v>0</v>
      </c>
      <c r="L1270">
        <f t="shared" si="79"/>
        <v>1</v>
      </c>
    </row>
    <row r="1271" spans="1:12" x14ac:dyDescent="0.25">
      <c r="A1271" t="s">
        <v>1456</v>
      </c>
      <c r="B1271" t="s">
        <v>64</v>
      </c>
      <c r="C1271">
        <v>16</v>
      </c>
      <c r="D1271">
        <v>20</v>
      </c>
      <c r="G1271">
        <v>36</v>
      </c>
      <c r="H1271">
        <v>0</v>
      </c>
      <c r="I1271">
        <f t="shared" si="76"/>
        <v>1</v>
      </c>
      <c r="J1271">
        <f t="shared" si="77"/>
        <v>0</v>
      </c>
      <c r="K1271">
        <f t="shared" si="78"/>
        <v>0</v>
      </c>
      <c r="L1271">
        <f t="shared" si="79"/>
        <v>1</v>
      </c>
    </row>
    <row r="1272" spans="1:12" x14ac:dyDescent="0.25">
      <c r="A1272" t="s">
        <v>1457</v>
      </c>
      <c r="B1272" t="s">
        <v>64</v>
      </c>
      <c r="C1272">
        <v>12</v>
      </c>
      <c r="D1272">
        <v>0</v>
      </c>
      <c r="G1272">
        <v>12</v>
      </c>
      <c r="H1272">
        <v>0</v>
      </c>
      <c r="I1272">
        <f t="shared" si="76"/>
        <v>1</v>
      </c>
      <c r="J1272">
        <f t="shared" si="77"/>
        <v>0</v>
      </c>
      <c r="K1272">
        <f t="shared" si="78"/>
        <v>0</v>
      </c>
      <c r="L1272">
        <f t="shared" si="79"/>
        <v>0</v>
      </c>
    </row>
    <row r="1273" spans="1:12" x14ac:dyDescent="0.25">
      <c r="A1273" t="s">
        <v>1458</v>
      </c>
      <c r="B1273" t="s">
        <v>64</v>
      </c>
      <c r="C1273">
        <v>6</v>
      </c>
      <c r="D1273">
        <v>6</v>
      </c>
      <c r="G1273">
        <v>12</v>
      </c>
      <c r="H1273">
        <v>0</v>
      </c>
      <c r="I1273">
        <f t="shared" si="76"/>
        <v>1</v>
      </c>
      <c r="J1273">
        <f t="shared" si="77"/>
        <v>0</v>
      </c>
      <c r="K1273">
        <f t="shared" si="78"/>
        <v>0</v>
      </c>
      <c r="L1273">
        <f t="shared" si="79"/>
        <v>1</v>
      </c>
    </row>
    <row r="1274" spans="1:12" x14ac:dyDescent="0.25">
      <c r="A1274" t="s">
        <v>1459</v>
      </c>
      <c r="B1274" t="s">
        <v>64</v>
      </c>
      <c r="C1274">
        <v>16</v>
      </c>
      <c r="D1274">
        <v>8</v>
      </c>
      <c r="G1274">
        <v>24</v>
      </c>
      <c r="H1274">
        <v>0</v>
      </c>
      <c r="I1274">
        <f t="shared" si="76"/>
        <v>1</v>
      </c>
      <c r="J1274">
        <f t="shared" si="77"/>
        <v>0</v>
      </c>
      <c r="K1274">
        <f t="shared" si="78"/>
        <v>0</v>
      </c>
      <c r="L1274">
        <f t="shared" si="79"/>
        <v>1</v>
      </c>
    </row>
    <row r="1275" spans="1:12" x14ac:dyDescent="0.25">
      <c r="A1275" t="s">
        <v>1460</v>
      </c>
      <c r="B1275" t="s">
        <v>66</v>
      </c>
      <c r="C1275">
        <v>21</v>
      </c>
      <c r="D1275">
        <v>2</v>
      </c>
      <c r="G1275">
        <v>23</v>
      </c>
      <c r="H1275">
        <v>0</v>
      </c>
      <c r="I1275">
        <f t="shared" si="76"/>
        <v>1</v>
      </c>
      <c r="J1275">
        <f t="shared" si="77"/>
        <v>0</v>
      </c>
      <c r="K1275">
        <f t="shared" si="78"/>
        <v>0</v>
      </c>
      <c r="L1275">
        <f t="shared" si="79"/>
        <v>1</v>
      </c>
    </row>
    <row r="1276" spans="1:12" x14ac:dyDescent="0.25">
      <c r="A1276" t="s">
        <v>1461</v>
      </c>
      <c r="B1276" t="s">
        <v>66</v>
      </c>
      <c r="C1276">
        <v>12</v>
      </c>
      <c r="D1276">
        <v>12</v>
      </c>
      <c r="G1276">
        <v>24</v>
      </c>
      <c r="H1276">
        <v>0</v>
      </c>
      <c r="I1276">
        <f t="shared" si="76"/>
        <v>1</v>
      </c>
      <c r="J1276">
        <f t="shared" si="77"/>
        <v>0</v>
      </c>
      <c r="K1276">
        <f t="shared" si="78"/>
        <v>0</v>
      </c>
      <c r="L1276">
        <f t="shared" si="79"/>
        <v>1</v>
      </c>
    </row>
    <row r="1277" spans="1:12" x14ac:dyDescent="0.25">
      <c r="A1277" t="s">
        <v>1462</v>
      </c>
      <c r="B1277" t="s">
        <v>66</v>
      </c>
      <c r="C1277">
        <v>12</v>
      </c>
      <c r="D1277">
        <v>0</v>
      </c>
      <c r="G1277">
        <v>12</v>
      </c>
      <c r="H1277">
        <v>0</v>
      </c>
      <c r="I1277">
        <f t="shared" si="76"/>
        <v>1</v>
      </c>
      <c r="J1277">
        <f t="shared" si="77"/>
        <v>0</v>
      </c>
      <c r="K1277">
        <f t="shared" si="78"/>
        <v>0</v>
      </c>
      <c r="L1277">
        <f t="shared" si="79"/>
        <v>0</v>
      </c>
    </row>
    <row r="1278" spans="1:12" x14ac:dyDescent="0.25">
      <c r="A1278" t="s">
        <v>1463</v>
      </c>
      <c r="B1278" t="s">
        <v>66</v>
      </c>
      <c r="C1278">
        <v>12</v>
      </c>
      <c r="D1278">
        <v>0</v>
      </c>
      <c r="G1278">
        <v>12</v>
      </c>
      <c r="H1278">
        <v>0</v>
      </c>
      <c r="I1278">
        <f t="shared" si="76"/>
        <v>1</v>
      </c>
      <c r="J1278">
        <f t="shared" si="77"/>
        <v>0</v>
      </c>
      <c r="K1278">
        <f t="shared" si="78"/>
        <v>0</v>
      </c>
      <c r="L1278">
        <f t="shared" si="79"/>
        <v>0</v>
      </c>
    </row>
    <row r="1279" spans="1:12" x14ac:dyDescent="0.25">
      <c r="A1279" t="s">
        <v>1464</v>
      </c>
      <c r="B1279" t="s">
        <v>66</v>
      </c>
      <c r="C1279">
        <v>22</v>
      </c>
      <c r="D1279">
        <v>10.5</v>
      </c>
      <c r="G1279">
        <v>32.5</v>
      </c>
      <c r="H1279">
        <v>0</v>
      </c>
      <c r="I1279">
        <f t="shared" si="76"/>
        <v>1</v>
      </c>
      <c r="J1279">
        <f t="shared" si="77"/>
        <v>0</v>
      </c>
      <c r="K1279">
        <f t="shared" si="78"/>
        <v>0</v>
      </c>
      <c r="L1279">
        <f t="shared" si="79"/>
        <v>1</v>
      </c>
    </row>
    <row r="1280" spans="1:12" x14ac:dyDescent="0.25">
      <c r="A1280" t="s">
        <v>1465</v>
      </c>
      <c r="B1280" t="s">
        <v>66</v>
      </c>
      <c r="C1280">
        <v>10</v>
      </c>
      <c r="D1280">
        <v>0</v>
      </c>
      <c r="G1280">
        <v>10</v>
      </c>
      <c r="H1280">
        <v>0</v>
      </c>
      <c r="I1280">
        <f t="shared" si="76"/>
        <v>1</v>
      </c>
      <c r="J1280">
        <f t="shared" si="77"/>
        <v>0</v>
      </c>
      <c r="K1280">
        <f t="shared" si="78"/>
        <v>0</v>
      </c>
      <c r="L1280">
        <f t="shared" si="79"/>
        <v>0</v>
      </c>
    </row>
    <row r="1281" spans="1:12" x14ac:dyDescent="0.25">
      <c r="A1281" t="s">
        <v>1466</v>
      </c>
      <c r="B1281" t="s">
        <v>66</v>
      </c>
      <c r="C1281">
        <v>6</v>
      </c>
      <c r="D1281">
        <v>9</v>
      </c>
      <c r="G1281">
        <v>15</v>
      </c>
      <c r="H1281">
        <v>0</v>
      </c>
      <c r="I1281">
        <f t="shared" si="76"/>
        <v>1</v>
      </c>
      <c r="J1281">
        <f t="shared" si="77"/>
        <v>0</v>
      </c>
      <c r="K1281">
        <f t="shared" si="78"/>
        <v>0</v>
      </c>
      <c r="L1281">
        <f t="shared" si="79"/>
        <v>1</v>
      </c>
    </row>
    <row r="1282" spans="1:12" x14ac:dyDescent="0.25">
      <c r="A1282" t="s">
        <v>1467</v>
      </c>
      <c r="B1282" t="s">
        <v>66</v>
      </c>
      <c r="C1282">
        <v>16</v>
      </c>
      <c r="E1282">
        <v>2</v>
      </c>
      <c r="G1282">
        <v>16</v>
      </c>
      <c r="H1282">
        <v>2</v>
      </c>
      <c r="I1282">
        <f t="shared" si="76"/>
        <v>1</v>
      </c>
      <c r="J1282">
        <f t="shared" si="77"/>
        <v>1</v>
      </c>
      <c r="K1282">
        <f t="shared" si="78"/>
        <v>0</v>
      </c>
      <c r="L1282">
        <f t="shared" si="79"/>
        <v>0</v>
      </c>
    </row>
    <row r="1283" spans="1:12" x14ac:dyDescent="0.25">
      <c r="A1283" t="s">
        <v>1468</v>
      </c>
      <c r="B1283" t="s">
        <v>66</v>
      </c>
      <c r="C1283">
        <v>15</v>
      </c>
      <c r="D1283">
        <v>0</v>
      </c>
      <c r="G1283">
        <v>15</v>
      </c>
      <c r="H1283">
        <v>0</v>
      </c>
      <c r="I1283">
        <f t="shared" ref="I1283:I1346" si="80">IF(C1283&gt;0, 1, 0)</f>
        <v>1</v>
      </c>
      <c r="J1283">
        <f t="shared" ref="J1283:J1346" si="81">IF(E1283&gt;0, 1,0)</f>
        <v>0</v>
      </c>
      <c r="K1283">
        <f t="shared" ref="K1283:K1346" si="82">IF(F1283&gt;0, 1, 0)</f>
        <v>0</v>
      </c>
      <c r="L1283">
        <f t="shared" ref="L1283:L1346" si="83">IF(D1283&gt;0, 1, 0)</f>
        <v>0</v>
      </c>
    </row>
    <row r="1284" spans="1:12" x14ac:dyDescent="0.25">
      <c r="A1284" t="s">
        <v>1469</v>
      </c>
      <c r="B1284" t="s">
        <v>66</v>
      </c>
      <c r="C1284">
        <v>52</v>
      </c>
      <c r="D1284">
        <v>0</v>
      </c>
      <c r="G1284">
        <v>52</v>
      </c>
      <c r="H1284">
        <v>0</v>
      </c>
      <c r="I1284">
        <f t="shared" si="80"/>
        <v>1</v>
      </c>
      <c r="J1284">
        <f t="shared" si="81"/>
        <v>0</v>
      </c>
      <c r="K1284">
        <f t="shared" si="82"/>
        <v>0</v>
      </c>
      <c r="L1284">
        <f t="shared" si="83"/>
        <v>0</v>
      </c>
    </row>
    <row r="1285" spans="1:12" x14ac:dyDescent="0.25">
      <c r="A1285" t="s">
        <v>1470</v>
      </c>
      <c r="B1285" t="s">
        <v>66</v>
      </c>
      <c r="C1285">
        <v>12</v>
      </c>
      <c r="D1285">
        <v>26</v>
      </c>
      <c r="G1285">
        <v>38</v>
      </c>
      <c r="H1285">
        <v>0</v>
      </c>
      <c r="I1285">
        <f t="shared" si="80"/>
        <v>1</v>
      </c>
      <c r="J1285">
        <f t="shared" si="81"/>
        <v>0</v>
      </c>
      <c r="K1285">
        <f t="shared" si="82"/>
        <v>0</v>
      </c>
      <c r="L1285">
        <f t="shared" si="83"/>
        <v>1</v>
      </c>
    </row>
    <row r="1286" spans="1:12" x14ac:dyDescent="0.25">
      <c r="A1286" t="s">
        <v>1471</v>
      </c>
      <c r="B1286" t="s">
        <v>66</v>
      </c>
      <c r="C1286">
        <v>1</v>
      </c>
      <c r="D1286">
        <v>1</v>
      </c>
      <c r="G1286">
        <v>2</v>
      </c>
      <c r="H1286">
        <v>0</v>
      </c>
      <c r="I1286">
        <f t="shared" si="80"/>
        <v>1</v>
      </c>
      <c r="J1286">
        <f t="shared" si="81"/>
        <v>0</v>
      </c>
      <c r="K1286">
        <f t="shared" si="82"/>
        <v>0</v>
      </c>
      <c r="L1286">
        <f t="shared" si="83"/>
        <v>1</v>
      </c>
    </row>
    <row r="1287" spans="1:12" x14ac:dyDescent="0.25">
      <c r="A1287" t="s">
        <v>1472</v>
      </c>
      <c r="B1287" t="s">
        <v>66</v>
      </c>
      <c r="C1287">
        <v>10</v>
      </c>
      <c r="D1287">
        <v>0</v>
      </c>
      <c r="G1287">
        <v>10</v>
      </c>
      <c r="H1287">
        <v>0</v>
      </c>
      <c r="I1287">
        <f t="shared" si="80"/>
        <v>1</v>
      </c>
      <c r="J1287">
        <f t="shared" si="81"/>
        <v>0</v>
      </c>
      <c r="K1287">
        <f t="shared" si="82"/>
        <v>0</v>
      </c>
      <c r="L1287">
        <f t="shared" si="83"/>
        <v>0</v>
      </c>
    </row>
    <row r="1288" spans="1:12" x14ac:dyDescent="0.25">
      <c r="A1288" t="s">
        <v>1473</v>
      </c>
      <c r="B1288" t="s">
        <v>66</v>
      </c>
      <c r="C1288">
        <v>12</v>
      </c>
      <c r="D1288">
        <v>4</v>
      </c>
      <c r="G1288">
        <v>16</v>
      </c>
      <c r="H1288">
        <v>0</v>
      </c>
      <c r="I1288">
        <f t="shared" si="80"/>
        <v>1</v>
      </c>
      <c r="J1288">
        <f t="shared" si="81"/>
        <v>0</v>
      </c>
      <c r="K1288">
        <f t="shared" si="82"/>
        <v>0</v>
      </c>
      <c r="L1288">
        <f t="shared" si="83"/>
        <v>1</v>
      </c>
    </row>
    <row r="1289" spans="1:12" x14ac:dyDescent="0.25">
      <c r="A1289" t="s">
        <v>1474</v>
      </c>
      <c r="B1289" t="s">
        <v>66</v>
      </c>
      <c r="C1289">
        <v>12</v>
      </c>
      <c r="D1289">
        <v>4</v>
      </c>
      <c r="G1289">
        <v>16</v>
      </c>
      <c r="H1289">
        <v>0</v>
      </c>
      <c r="I1289">
        <f t="shared" si="80"/>
        <v>1</v>
      </c>
      <c r="J1289">
        <f t="shared" si="81"/>
        <v>0</v>
      </c>
      <c r="K1289">
        <f t="shared" si="82"/>
        <v>0</v>
      </c>
      <c r="L1289">
        <f t="shared" si="83"/>
        <v>1</v>
      </c>
    </row>
    <row r="1290" spans="1:12" x14ac:dyDescent="0.25">
      <c r="A1290" t="s">
        <v>1475</v>
      </c>
      <c r="B1290" t="s">
        <v>66</v>
      </c>
      <c r="C1290">
        <v>17</v>
      </c>
      <c r="D1290">
        <v>9</v>
      </c>
      <c r="G1290">
        <v>26</v>
      </c>
      <c r="H1290">
        <v>0</v>
      </c>
      <c r="I1290">
        <f t="shared" si="80"/>
        <v>1</v>
      </c>
      <c r="J1290">
        <f t="shared" si="81"/>
        <v>0</v>
      </c>
      <c r="K1290">
        <f t="shared" si="82"/>
        <v>0</v>
      </c>
      <c r="L1290">
        <f t="shared" si="83"/>
        <v>1</v>
      </c>
    </row>
    <row r="1291" spans="1:12" x14ac:dyDescent="0.25">
      <c r="A1291" t="s">
        <v>1476</v>
      </c>
      <c r="B1291" t="s">
        <v>66</v>
      </c>
      <c r="C1291">
        <v>14</v>
      </c>
      <c r="D1291">
        <v>0</v>
      </c>
      <c r="G1291">
        <v>14</v>
      </c>
      <c r="H1291">
        <v>0</v>
      </c>
      <c r="I1291">
        <f t="shared" si="80"/>
        <v>1</v>
      </c>
      <c r="J1291">
        <f t="shared" si="81"/>
        <v>0</v>
      </c>
      <c r="K1291">
        <f t="shared" si="82"/>
        <v>0</v>
      </c>
      <c r="L1291">
        <f t="shared" si="83"/>
        <v>0</v>
      </c>
    </row>
    <row r="1292" spans="1:12" x14ac:dyDescent="0.25">
      <c r="A1292" t="s">
        <v>1477</v>
      </c>
      <c r="B1292" t="s">
        <v>66</v>
      </c>
      <c r="C1292">
        <v>12</v>
      </c>
      <c r="D1292">
        <v>0</v>
      </c>
      <c r="G1292">
        <v>12</v>
      </c>
      <c r="H1292">
        <v>0</v>
      </c>
      <c r="I1292">
        <f t="shared" si="80"/>
        <v>1</v>
      </c>
      <c r="J1292">
        <f t="shared" si="81"/>
        <v>0</v>
      </c>
      <c r="K1292">
        <f t="shared" si="82"/>
        <v>0</v>
      </c>
      <c r="L1292">
        <f t="shared" si="83"/>
        <v>0</v>
      </c>
    </row>
    <row r="1293" spans="1:12" x14ac:dyDescent="0.25">
      <c r="A1293" t="s">
        <v>1478</v>
      </c>
      <c r="B1293" t="s">
        <v>66</v>
      </c>
      <c r="C1293">
        <v>4</v>
      </c>
      <c r="D1293">
        <v>0</v>
      </c>
      <c r="G1293">
        <v>4</v>
      </c>
      <c r="H1293">
        <v>0</v>
      </c>
      <c r="I1293">
        <f t="shared" si="80"/>
        <v>1</v>
      </c>
      <c r="J1293">
        <f t="shared" si="81"/>
        <v>0</v>
      </c>
      <c r="K1293">
        <f t="shared" si="82"/>
        <v>0</v>
      </c>
      <c r="L1293">
        <f t="shared" si="83"/>
        <v>0</v>
      </c>
    </row>
    <row r="1294" spans="1:12" x14ac:dyDescent="0.25">
      <c r="A1294" t="s">
        <v>1479</v>
      </c>
      <c r="B1294" t="s">
        <v>66</v>
      </c>
      <c r="C1294">
        <v>10</v>
      </c>
      <c r="D1294">
        <v>10</v>
      </c>
      <c r="G1294">
        <v>20</v>
      </c>
      <c r="H1294">
        <v>0</v>
      </c>
      <c r="I1294">
        <f t="shared" si="80"/>
        <v>1</v>
      </c>
      <c r="J1294">
        <f t="shared" si="81"/>
        <v>0</v>
      </c>
      <c r="K1294">
        <f t="shared" si="82"/>
        <v>0</v>
      </c>
      <c r="L1294">
        <f t="shared" si="83"/>
        <v>1</v>
      </c>
    </row>
    <row r="1295" spans="1:12" x14ac:dyDescent="0.25">
      <c r="A1295" t="s">
        <v>1480</v>
      </c>
      <c r="B1295" t="s">
        <v>66</v>
      </c>
      <c r="C1295">
        <v>14</v>
      </c>
      <c r="D1295">
        <v>2</v>
      </c>
      <c r="G1295">
        <v>16</v>
      </c>
      <c r="H1295">
        <v>0</v>
      </c>
      <c r="I1295">
        <f t="shared" si="80"/>
        <v>1</v>
      </c>
      <c r="J1295">
        <f t="shared" si="81"/>
        <v>0</v>
      </c>
      <c r="K1295">
        <f t="shared" si="82"/>
        <v>0</v>
      </c>
      <c r="L1295">
        <f t="shared" si="83"/>
        <v>1</v>
      </c>
    </row>
    <row r="1296" spans="1:12" x14ac:dyDescent="0.25">
      <c r="A1296" t="s">
        <v>1481</v>
      </c>
      <c r="B1296" t="s">
        <v>66</v>
      </c>
      <c r="C1296">
        <v>12</v>
      </c>
      <c r="D1296">
        <v>12</v>
      </c>
      <c r="G1296">
        <v>24</v>
      </c>
      <c r="H1296">
        <v>0</v>
      </c>
      <c r="I1296">
        <f t="shared" si="80"/>
        <v>1</v>
      </c>
      <c r="J1296">
        <f t="shared" si="81"/>
        <v>0</v>
      </c>
      <c r="K1296">
        <f t="shared" si="82"/>
        <v>0</v>
      </c>
      <c r="L1296">
        <f t="shared" si="83"/>
        <v>1</v>
      </c>
    </row>
    <row r="1297" spans="1:12" x14ac:dyDescent="0.25">
      <c r="A1297" t="s">
        <v>1482</v>
      </c>
      <c r="B1297" t="s">
        <v>66</v>
      </c>
      <c r="C1297">
        <v>12</v>
      </c>
      <c r="D1297">
        <v>18</v>
      </c>
      <c r="G1297">
        <v>30</v>
      </c>
      <c r="H1297">
        <v>0</v>
      </c>
      <c r="I1297">
        <f t="shared" si="80"/>
        <v>1</v>
      </c>
      <c r="J1297">
        <f t="shared" si="81"/>
        <v>0</v>
      </c>
      <c r="K1297">
        <f t="shared" si="82"/>
        <v>0</v>
      </c>
      <c r="L1297">
        <f t="shared" si="83"/>
        <v>1</v>
      </c>
    </row>
    <row r="1298" spans="1:12" x14ac:dyDescent="0.25">
      <c r="A1298" t="s">
        <v>1483</v>
      </c>
      <c r="B1298" t="s">
        <v>66</v>
      </c>
      <c r="C1298">
        <v>16</v>
      </c>
      <c r="D1298">
        <v>0</v>
      </c>
      <c r="G1298">
        <v>16</v>
      </c>
      <c r="H1298">
        <v>0</v>
      </c>
      <c r="I1298">
        <f t="shared" si="80"/>
        <v>1</v>
      </c>
      <c r="J1298">
        <f t="shared" si="81"/>
        <v>0</v>
      </c>
      <c r="K1298">
        <f t="shared" si="82"/>
        <v>0</v>
      </c>
      <c r="L1298">
        <f t="shared" si="83"/>
        <v>0</v>
      </c>
    </row>
    <row r="1299" spans="1:12" x14ac:dyDescent="0.25">
      <c r="A1299" t="s">
        <v>1484</v>
      </c>
      <c r="B1299" t="s">
        <v>66</v>
      </c>
      <c r="C1299">
        <v>14</v>
      </c>
      <c r="D1299">
        <v>0</v>
      </c>
      <c r="G1299">
        <v>14</v>
      </c>
      <c r="H1299">
        <v>0</v>
      </c>
      <c r="I1299">
        <f t="shared" si="80"/>
        <v>1</v>
      </c>
      <c r="J1299">
        <f t="shared" si="81"/>
        <v>0</v>
      </c>
      <c r="K1299">
        <f t="shared" si="82"/>
        <v>0</v>
      </c>
      <c r="L1299">
        <f t="shared" si="83"/>
        <v>0</v>
      </c>
    </row>
    <row r="1300" spans="1:12" x14ac:dyDescent="0.25">
      <c r="A1300" t="s">
        <v>1485</v>
      </c>
      <c r="B1300" t="s">
        <v>66</v>
      </c>
      <c r="C1300">
        <v>22</v>
      </c>
      <c r="D1300">
        <v>0</v>
      </c>
      <c r="G1300">
        <v>22</v>
      </c>
      <c r="H1300">
        <v>0</v>
      </c>
      <c r="I1300">
        <f t="shared" si="80"/>
        <v>1</v>
      </c>
      <c r="J1300">
        <f t="shared" si="81"/>
        <v>0</v>
      </c>
      <c r="K1300">
        <f t="shared" si="82"/>
        <v>0</v>
      </c>
      <c r="L1300">
        <f t="shared" si="83"/>
        <v>0</v>
      </c>
    </row>
    <row r="1301" spans="1:12" x14ac:dyDescent="0.25">
      <c r="A1301" t="s">
        <v>1486</v>
      </c>
      <c r="B1301" t="s">
        <v>66</v>
      </c>
      <c r="C1301">
        <v>12</v>
      </c>
      <c r="D1301">
        <v>0</v>
      </c>
      <c r="G1301">
        <v>12</v>
      </c>
      <c r="H1301">
        <v>0</v>
      </c>
      <c r="I1301">
        <f t="shared" si="80"/>
        <v>1</v>
      </c>
      <c r="J1301">
        <f t="shared" si="81"/>
        <v>0</v>
      </c>
      <c r="K1301">
        <f t="shared" si="82"/>
        <v>0</v>
      </c>
      <c r="L1301">
        <f t="shared" si="83"/>
        <v>0</v>
      </c>
    </row>
    <row r="1302" spans="1:12" x14ac:dyDescent="0.25">
      <c r="A1302" t="s">
        <v>1487</v>
      </c>
      <c r="B1302" t="s">
        <v>66</v>
      </c>
      <c r="C1302">
        <v>12</v>
      </c>
      <c r="D1302">
        <v>0</v>
      </c>
      <c r="G1302">
        <v>12</v>
      </c>
      <c r="H1302">
        <v>0</v>
      </c>
      <c r="I1302">
        <f t="shared" si="80"/>
        <v>1</v>
      </c>
      <c r="J1302">
        <f t="shared" si="81"/>
        <v>0</v>
      </c>
      <c r="K1302">
        <f t="shared" si="82"/>
        <v>0</v>
      </c>
      <c r="L1302">
        <f t="shared" si="83"/>
        <v>0</v>
      </c>
    </row>
    <row r="1303" spans="1:12" x14ac:dyDescent="0.25">
      <c r="A1303" t="s">
        <v>1488</v>
      </c>
      <c r="B1303" t="s">
        <v>66</v>
      </c>
      <c r="C1303">
        <v>52</v>
      </c>
      <c r="D1303">
        <v>0</v>
      </c>
      <c r="G1303">
        <v>52</v>
      </c>
      <c r="H1303">
        <v>0</v>
      </c>
      <c r="I1303">
        <f t="shared" si="80"/>
        <v>1</v>
      </c>
      <c r="J1303">
        <f t="shared" si="81"/>
        <v>0</v>
      </c>
      <c r="K1303">
        <f t="shared" si="82"/>
        <v>0</v>
      </c>
      <c r="L1303">
        <f t="shared" si="83"/>
        <v>0</v>
      </c>
    </row>
    <row r="1304" spans="1:12" x14ac:dyDescent="0.25">
      <c r="A1304" t="s">
        <v>1489</v>
      </c>
      <c r="B1304" t="s">
        <v>66</v>
      </c>
      <c r="C1304">
        <v>12</v>
      </c>
      <c r="D1304">
        <v>6</v>
      </c>
      <c r="G1304">
        <v>18</v>
      </c>
      <c r="H1304">
        <v>0</v>
      </c>
      <c r="I1304">
        <f t="shared" si="80"/>
        <v>1</v>
      </c>
      <c r="J1304">
        <f t="shared" si="81"/>
        <v>0</v>
      </c>
      <c r="K1304">
        <f t="shared" si="82"/>
        <v>0</v>
      </c>
      <c r="L1304">
        <f t="shared" si="83"/>
        <v>1</v>
      </c>
    </row>
    <row r="1305" spans="1:12" x14ac:dyDescent="0.25">
      <c r="A1305" t="s">
        <v>1490</v>
      </c>
      <c r="B1305" t="s">
        <v>66</v>
      </c>
      <c r="C1305">
        <v>8</v>
      </c>
      <c r="D1305">
        <v>8</v>
      </c>
      <c r="G1305">
        <v>16</v>
      </c>
      <c r="H1305">
        <v>0</v>
      </c>
      <c r="I1305">
        <f t="shared" si="80"/>
        <v>1</v>
      </c>
      <c r="J1305">
        <f t="shared" si="81"/>
        <v>0</v>
      </c>
      <c r="K1305">
        <f t="shared" si="82"/>
        <v>0</v>
      </c>
      <c r="L1305">
        <f t="shared" si="83"/>
        <v>1</v>
      </c>
    </row>
    <row r="1306" spans="1:12" x14ac:dyDescent="0.25">
      <c r="A1306" t="s">
        <v>1491</v>
      </c>
      <c r="B1306" t="s">
        <v>66</v>
      </c>
      <c r="C1306">
        <v>19.5</v>
      </c>
      <c r="D1306">
        <v>26</v>
      </c>
      <c r="G1306">
        <v>45.5</v>
      </c>
      <c r="H1306">
        <v>0</v>
      </c>
      <c r="I1306">
        <f t="shared" si="80"/>
        <v>1</v>
      </c>
      <c r="J1306">
        <f t="shared" si="81"/>
        <v>0</v>
      </c>
      <c r="K1306">
        <f t="shared" si="82"/>
        <v>0</v>
      </c>
      <c r="L1306">
        <f t="shared" si="83"/>
        <v>1</v>
      </c>
    </row>
    <row r="1307" spans="1:12" x14ac:dyDescent="0.25">
      <c r="A1307" t="s">
        <v>1492</v>
      </c>
      <c r="B1307" t="s">
        <v>66</v>
      </c>
      <c r="C1307">
        <v>4</v>
      </c>
      <c r="D1307">
        <v>2</v>
      </c>
      <c r="G1307">
        <v>6</v>
      </c>
      <c r="H1307">
        <v>0</v>
      </c>
      <c r="I1307">
        <f t="shared" si="80"/>
        <v>1</v>
      </c>
      <c r="J1307">
        <f t="shared" si="81"/>
        <v>0</v>
      </c>
      <c r="K1307">
        <f t="shared" si="82"/>
        <v>0</v>
      </c>
      <c r="L1307">
        <f t="shared" si="83"/>
        <v>1</v>
      </c>
    </row>
    <row r="1308" spans="1:12" x14ac:dyDescent="0.25">
      <c r="A1308" t="s">
        <v>1493</v>
      </c>
      <c r="B1308" t="s">
        <v>66</v>
      </c>
      <c r="C1308">
        <v>12</v>
      </c>
      <c r="D1308">
        <v>6</v>
      </c>
      <c r="G1308">
        <v>18</v>
      </c>
      <c r="H1308">
        <v>0</v>
      </c>
      <c r="I1308">
        <f t="shared" si="80"/>
        <v>1</v>
      </c>
      <c r="J1308">
        <f t="shared" si="81"/>
        <v>0</v>
      </c>
      <c r="K1308">
        <f t="shared" si="82"/>
        <v>0</v>
      </c>
      <c r="L1308">
        <f t="shared" si="83"/>
        <v>1</v>
      </c>
    </row>
    <row r="1309" spans="1:12" x14ac:dyDescent="0.25">
      <c r="A1309" t="s">
        <v>1494</v>
      </c>
      <c r="B1309" t="s">
        <v>66</v>
      </c>
      <c r="C1309">
        <v>16</v>
      </c>
      <c r="E1309">
        <v>16</v>
      </c>
      <c r="G1309">
        <v>16</v>
      </c>
      <c r="H1309">
        <v>16</v>
      </c>
      <c r="I1309">
        <f t="shared" si="80"/>
        <v>1</v>
      </c>
      <c r="J1309">
        <f t="shared" si="81"/>
        <v>1</v>
      </c>
      <c r="K1309">
        <f t="shared" si="82"/>
        <v>0</v>
      </c>
      <c r="L1309">
        <f t="shared" si="83"/>
        <v>0</v>
      </c>
    </row>
    <row r="1310" spans="1:12" x14ac:dyDescent="0.25">
      <c r="A1310" t="s">
        <v>1495</v>
      </c>
      <c r="B1310" t="s">
        <v>66</v>
      </c>
      <c r="C1310">
        <v>18</v>
      </c>
      <c r="D1310">
        <v>0</v>
      </c>
      <c r="G1310">
        <v>18</v>
      </c>
      <c r="H1310">
        <v>0</v>
      </c>
      <c r="I1310">
        <f t="shared" si="80"/>
        <v>1</v>
      </c>
      <c r="J1310">
        <f t="shared" si="81"/>
        <v>0</v>
      </c>
      <c r="K1310">
        <f t="shared" si="82"/>
        <v>0</v>
      </c>
      <c r="L1310">
        <f t="shared" si="83"/>
        <v>0</v>
      </c>
    </row>
    <row r="1311" spans="1:12" x14ac:dyDescent="0.25">
      <c r="A1311" t="s">
        <v>1496</v>
      </c>
      <c r="B1311" t="s">
        <v>66</v>
      </c>
      <c r="C1311">
        <v>16</v>
      </c>
      <c r="E1311">
        <v>16</v>
      </c>
      <c r="G1311">
        <v>16</v>
      </c>
      <c r="H1311">
        <v>16</v>
      </c>
      <c r="I1311">
        <f t="shared" si="80"/>
        <v>1</v>
      </c>
      <c r="J1311">
        <f t="shared" si="81"/>
        <v>1</v>
      </c>
      <c r="K1311">
        <f t="shared" si="82"/>
        <v>0</v>
      </c>
      <c r="L1311">
        <f t="shared" si="83"/>
        <v>0</v>
      </c>
    </row>
    <row r="1312" spans="1:12" x14ac:dyDescent="0.25">
      <c r="A1312" t="s">
        <v>1497</v>
      </c>
      <c r="B1312" t="s">
        <v>66</v>
      </c>
      <c r="C1312">
        <v>26</v>
      </c>
      <c r="D1312">
        <v>26</v>
      </c>
      <c r="G1312">
        <v>52</v>
      </c>
      <c r="H1312">
        <v>0</v>
      </c>
      <c r="I1312">
        <f t="shared" si="80"/>
        <v>1</v>
      </c>
      <c r="J1312">
        <f t="shared" si="81"/>
        <v>0</v>
      </c>
      <c r="K1312">
        <f t="shared" si="82"/>
        <v>0</v>
      </c>
      <c r="L1312">
        <f t="shared" si="83"/>
        <v>1</v>
      </c>
    </row>
    <row r="1313" spans="1:12" x14ac:dyDescent="0.25">
      <c r="A1313" t="s">
        <v>1498</v>
      </c>
      <c r="B1313" t="s">
        <v>66</v>
      </c>
      <c r="C1313">
        <v>24</v>
      </c>
      <c r="D1313">
        <v>2.5</v>
      </c>
      <c r="G1313">
        <v>26.5</v>
      </c>
      <c r="H1313">
        <v>0</v>
      </c>
      <c r="I1313">
        <f t="shared" si="80"/>
        <v>1</v>
      </c>
      <c r="J1313">
        <f t="shared" si="81"/>
        <v>0</v>
      </c>
      <c r="K1313">
        <f t="shared" si="82"/>
        <v>0</v>
      </c>
      <c r="L1313">
        <f t="shared" si="83"/>
        <v>1</v>
      </c>
    </row>
    <row r="1314" spans="1:12" x14ac:dyDescent="0.25">
      <c r="A1314" t="s">
        <v>1499</v>
      </c>
      <c r="B1314" t="s">
        <v>66</v>
      </c>
      <c r="C1314">
        <v>18</v>
      </c>
      <c r="D1314">
        <v>0</v>
      </c>
      <c r="G1314">
        <v>18</v>
      </c>
      <c r="H1314">
        <v>0</v>
      </c>
      <c r="I1314">
        <f t="shared" si="80"/>
        <v>1</v>
      </c>
      <c r="J1314">
        <f t="shared" si="81"/>
        <v>0</v>
      </c>
      <c r="K1314">
        <f t="shared" si="82"/>
        <v>0</v>
      </c>
      <c r="L1314">
        <f t="shared" si="83"/>
        <v>0</v>
      </c>
    </row>
    <row r="1315" spans="1:12" x14ac:dyDescent="0.25">
      <c r="A1315" t="s">
        <v>1500</v>
      </c>
      <c r="B1315" t="s">
        <v>66</v>
      </c>
      <c r="C1315">
        <v>20</v>
      </c>
      <c r="D1315">
        <v>0</v>
      </c>
      <c r="G1315">
        <v>20</v>
      </c>
      <c r="H1315">
        <v>0</v>
      </c>
      <c r="I1315">
        <f t="shared" si="80"/>
        <v>1</v>
      </c>
      <c r="J1315">
        <f t="shared" si="81"/>
        <v>0</v>
      </c>
      <c r="K1315">
        <f t="shared" si="82"/>
        <v>0</v>
      </c>
      <c r="L1315">
        <f t="shared" si="83"/>
        <v>0</v>
      </c>
    </row>
    <row r="1316" spans="1:12" x14ac:dyDescent="0.25">
      <c r="A1316" t="s">
        <v>1501</v>
      </c>
      <c r="B1316" t="s">
        <v>66</v>
      </c>
      <c r="C1316">
        <v>4</v>
      </c>
      <c r="D1316">
        <v>0</v>
      </c>
      <c r="G1316">
        <v>4</v>
      </c>
      <c r="H1316">
        <v>0</v>
      </c>
      <c r="I1316">
        <f t="shared" si="80"/>
        <v>1</v>
      </c>
      <c r="J1316">
        <f t="shared" si="81"/>
        <v>0</v>
      </c>
      <c r="K1316">
        <f t="shared" si="82"/>
        <v>0</v>
      </c>
      <c r="L1316">
        <f t="shared" si="83"/>
        <v>0</v>
      </c>
    </row>
    <row r="1317" spans="1:12" x14ac:dyDescent="0.25">
      <c r="A1317" t="s">
        <v>1502</v>
      </c>
      <c r="B1317" t="s">
        <v>66</v>
      </c>
      <c r="C1317">
        <v>20</v>
      </c>
      <c r="D1317">
        <v>2.5</v>
      </c>
      <c r="G1317">
        <v>22.5</v>
      </c>
      <c r="H1317">
        <v>0</v>
      </c>
      <c r="I1317">
        <f t="shared" si="80"/>
        <v>1</v>
      </c>
      <c r="J1317">
        <f t="shared" si="81"/>
        <v>0</v>
      </c>
      <c r="K1317">
        <f t="shared" si="82"/>
        <v>0</v>
      </c>
      <c r="L1317">
        <f t="shared" si="83"/>
        <v>1</v>
      </c>
    </row>
    <row r="1318" spans="1:12" x14ac:dyDescent="0.25">
      <c r="A1318" t="s">
        <v>1503</v>
      </c>
      <c r="B1318" t="s">
        <v>66</v>
      </c>
      <c r="C1318">
        <v>10</v>
      </c>
      <c r="D1318">
        <v>4</v>
      </c>
      <c r="G1318">
        <v>14</v>
      </c>
      <c r="H1318">
        <v>0</v>
      </c>
      <c r="I1318">
        <f t="shared" si="80"/>
        <v>1</v>
      </c>
      <c r="J1318">
        <f t="shared" si="81"/>
        <v>0</v>
      </c>
      <c r="K1318">
        <f t="shared" si="82"/>
        <v>0</v>
      </c>
      <c r="L1318">
        <f t="shared" si="83"/>
        <v>1</v>
      </c>
    </row>
    <row r="1319" spans="1:12" x14ac:dyDescent="0.25">
      <c r="A1319" t="s">
        <v>1504</v>
      </c>
      <c r="B1319" t="s">
        <v>66</v>
      </c>
      <c r="C1319">
        <v>14</v>
      </c>
      <c r="D1319">
        <v>0</v>
      </c>
      <c r="G1319">
        <v>14</v>
      </c>
      <c r="H1319">
        <v>0</v>
      </c>
      <c r="I1319">
        <f t="shared" si="80"/>
        <v>1</v>
      </c>
      <c r="J1319">
        <f t="shared" si="81"/>
        <v>0</v>
      </c>
      <c r="K1319">
        <f t="shared" si="82"/>
        <v>0</v>
      </c>
      <c r="L1319">
        <f t="shared" si="83"/>
        <v>0</v>
      </c>
    </row>
    <row r="1320" spans="1:12" x14ac:dyDescent="0.25">
      <c r="A1320" t="s">
        <v>1505</v>
      </c>
      <c r="B1320" t="s">
        <v>66</v>
      </c>
      <c r="C1320">
        <v>15</v>
      </c>
      <c r="D1320">
        <v>2</v>
      </c>
      <c r="G1320">
        <v>17</v>
      </c>
      <c r="H1320">
        <v>0</v>
      </c>
      <c r="I1320">
        <f t="shared" si="80"/>
        <v>1</v>
      </c>
      <c r="J1320">
        <f t="shared" si="81"/>
        <v>0</v>
      </c>
      <c r="K1320">
        <f t="shared" si="82"/>
        <v>0</v>
      </c>
      <c r="L1320">
        <f t="shared" si="83"/>
        <v>1</v>
      </c>
    </row>
    <row r="1321" spans="1:12" x14ac:dyDescent="0.25">
      <c r="A1321" t="s">
        <v>1506</v>
      </c>
      <c r="B1321" t="s">
        <v>66</v>
      </c>
      <c r="C1321">
        <v>4</v>
      </c>
      <c r="D1321">
        <v>2</v>
      </c>
      <c r="G1321">
        <v>6</v>
      </c>
      <c r="H1321">
        <v>0</v>
      </c>
      <c r="I1321">
        <f t="shared" si="80"/>
        <v>1</v>
      </c>
      <c r="J1321">
        <f t="shared" si="81"/>
        <v>0</v>
      </c>
      <c r="K1321">
        <f t="shared" si="82"/>
        <v>0</v>
      </c>
      <c r="L1321">
        <f t="shared" si="83"/>
        <v>1</v>
      </c>
    </row>
    <row r="1322" spans="1:12" x14ac:dyDescent="0.25">
      <c r="A1322" t="s">
        <v>1507</v>
      </c>
      <c r="B1322" t="s">
        <v>66</v>
      </c>
      <c r="C1322">
        <v>12</v>
      </c>
      <c r="D1322">
        <v>0</v>
      </c>
      <c r="G1322">
        <v>12</v>
      </c>
      <c r="H1322">
        <v>0</v>
      </c>
      <c r="I1322">
        <f t="shared" si="80"/>
        <v>1</v>
      </c>
      <c r="J1322">
        <f t="shared" si="81"/>
        <v>0</v>
      </c>
      <c r="K1322">
        <f t="shared" si="82"/>
        <v>0</v>
      </c>
      <c r="L1322">
        <f t="shared" si="83"/>
        <v>0</v>
      </c>
    </row>
    <row r="1323" spans="1:12" x14ac:dyDescent="0.25">
      <c r="A1323" t="s">
        <v>1508</v>
      </c>
      <c r="B1323" t="s">
        <v>315</v>
      </c>
      <c r="C1323">
        <v>10</v>
      </c>
      <c r="D1323">
        <v>0</v>
      </c>
      <c r="G1323">
        <v>10</v>
      </c>
      <c r="H1323">
        <v>0</v>
      </c>
      <c r="I1323">
        <f t="shared" si="80"/>
        <v>1</v>
      </c>
      <c r="J1323">
        <f t="shared" si="81"/>
        <v>0</v>
      </c>
      <c r="K1323">
        <f t="shared" si="82"/>
        <v>0</v>
      </c>
      <c r="L1323">
        <f t="shared" si="83"/>
        <v>0</v>
      </c>
    </row>
    <row r="1324" spans="1:12" x14ac:dyDescent="0.25">
      <c r="A1324" t="s">
        <v>1509</v>
      </c>
      <c r="B1324" t="s">
        <v>315</v>
      </c>
      <c r="C1324">
        <v>13</v>
      </c>
      <c r="E1324">
        <v>2</v>
      </c>
      <c r="G1324">
        <v>13</v>
      </c>
      <c r="H1324">
        <v>2</v>
      </c>
      <c r="I1324">
        <f t="shared" si="80"/>
        <v>1</v>
      </c>
      <c r="J1324">
        <f t="shared" si="81"/>
        <v>1</v>
      </c>
      <c r="K1324">
        <f t="shared" si="82"/>
        <v>0</v>
      </c>
      <c r="L1324">
        <f t="shared" si="83"/>
        <v>0</v>
      </c>
    </row>
    <row r="1325" spans="1:12" x14ac:dyDescent="0.25">
      <c r="A1325" t="s">
        <v>1510</v>
      </c>
      <c r="B1325" t="s">
        <v>315</v>
      </c>
      <c r="C1325">
        <v>12</v>
      </c>
      <c r="D1325">
        <v>0</v>
      </c>
      <c r="G1325">
        <v>12</v>
      </c>
      <c r="H1325">
        <v>0</v>
      </c>
      <c r="I1325">
        <f t="shared" si="80"/>
        <v>1</v>
      </c>
      <c r="J1325">
        <f t="shared" si="81"/>
        <v>0</v>
      </c>
      <c r="K1325">
        <f t="shared" si="82"/>
        <v>0</v>
      </c>
      <c r="L1325">
        <f t="shared" si="83"/>
        <v>0</v>
      </c>
    </row>
    <row r="1326" spans="1:12" x14ac:dyDescent="0.25">
      <c r="A1326" t="s">
        <v>1511</v>
      </c>
      <c r="B1326" t="s">
        <v>71</v>
      </c>
      <c r="C1326">
        <v>12</v>
      </c>
      <c r="D1326">
        <v>12</v>
      </c>
      <c r="G1326">
        <v>24</v>
      </c>
      <c r="H1326">
        <v>0</v>
      </c>
      <c r="I1326">
        <f t="shared" si="80"/>
        <v>1</v>
      </c>
      <c r="J1326">
        <f t="shared" si="81"/>
        <v>0</v>
      </c>
      <c r="K1326">
        <f t="shared" si="82"/>
        <v>0</v>
      </c>
      <c r="L1326">
        <f t="shared" si="83"/>
        <v>1</v>
      </c>
    </row>
    <row r="1327" spans="1:12" x14ac:dyDescent="0.25">
      <c r="A1327" t="s">
        <v>1512</v>
      </c>
      <c r="B1327" t="s">
        <v>71</v>
      </c>
      <c r="C1327">
        <v>16</v>
      </c>
      <c r="D1327">
        <v>0.5</v>
      </c>
      <c r="G1327">
        <v>16.5</v>
      </c>
      <c r="H1327">
        <v>0</v>
      </c>
      <c r="I1327">
        <f t="shared" si="80"/>
        <v>1</v>
      </c>
      <c r="J1327">
        <f t="shared" si="81"/>
        <v>0</v>
      </c>
      <c r="K1327">
        <f t="shared" si="82"/>
        <v>0</v>
      </c>
      <c r="L1327">
        <f t="shared" si="83"/>
        <v>1</v>
      </c>
    </row>
    <row r="1328" spans="1:12" x14ac:dyDescent="0.25">
      <c r="A1328" t="s">
        <v>1513</v>
      </c>
      <c r="B1328" t="s">
        <v>321</v>
      </c>
      <c r="C1328">
        <v>12</v>
      </c>
      <c r="D1328">
        <v>0</v>
      </c>
      <c r="G1328">
        <v>12</v>
      </c>
      <c r="H1328">
        <v>0</v>
      </c>
      <c r="I1328">
        <f t="shared" si="80"/>
        <v>1</v>
      </c>
      <c r="J1328">
        <f t="shared" si="81"/>
        <v>0</v>
      </c>
      <c r="K1328">
        <f t="shared" si="82"/>
        <v>0</v>
      </c>
      <c r="L1328">
        <f t="shared" si="83"/>
        <v>0</v>
      </c>
    </row>
    <row r="1329" spans="1:12" x14ac:dyDescent="0.25">
      <c r="A1329" t="s">
        <v>1514</v>
      </c>
      <c r="B1329" t="s">
        <v>321</v>
      </c>
      <c r="C1329">
        <v>8</v>
      </c>
      <c r="D1329">
        <v>3</v>
      </c>
      <c r="G1329">
        <v>11</v>
      </c>
      <c r="H1329">
        <v>0</v>
      </c>
      <c r="I1329">
        <f t="shared" si="80"/>
        <v>1</v>
      </c>
      <c r="J1329">
        <f t="shared" si="81"/>
        <v>0</v>
      </c>
      <c r="K1329">
        <f t="shared" si="82"/>
        <v>0</v>
      </c>
      <c r="L1329">
        <f t="shared" si="83"/>
        <v>1</v>
      </c>
    </row>
    <row r="1330" spans="1:12" x14ac:dyDescent="0.25">
      <c r="A1330" t="s">
        <v>1515</v>
      </c>
      <c r="B1330" t="s">
        <v>321</v>
      </c>
      <c r="C1330">
        <v>24</v>
      </c>
      <c r="D1330">
        <v>2</v>
      </c>
      <c r="G1330">
        <v>26</v>
      </c>
      <c r="H1330">
        <v>0</v>
      </c>
      <c r="I1330">
        <f t="shared" si="80"/>
        <v>1</v>
      </c>
      <c r="J1330">
        <f t="shared" si="81"/>
        <v>0</v>
      </c>
      <c r="K1330">
        <f t="shared" si="82"/>
        <v>0</v>
      </c>
      <c r="L1330">
        <f t="shared" si="83"/>
        <v>1</v>
      </c>
    </row>
    <row r="1331" spans="1:12" x14ac:dyDescent="0.25">
      <c r="A1331" t="s">
        <v>1516</v>
      </c>
      <c r="B1331" t="s">
        <v>321</v>
      </c>
      <c r="C1331">
        <v>12</v>
      </c>
      <c r="D1331">
        <v>4</v>
      </c>
      <c r="G1331">
        <v>16</v>
      </c>
      <c r="H1331">
        <v>0</v>
      </c>
      <c r="I1331">
        <f t="shared" si="80"/>
        <v>1</v>
      </c>
      <c r="J1331">
        <f t="shared" si="81"/>
        <v>0</v>
      </c>
      <c r="K1331">
        <f t="shared" si="82"/>
        <v>0</v>
      </c>
      <c r="L1331">
        <f t="shared" si="83"/>
        <v>1</v>
      </c>
    </row>
    <row r="1332" spans="1:12" x14ac:dyDescent="0.25">
      <c r="A1332" t="s">
        <v>1517</v>
      </c>
      <c r="B1332" t="s">
        <v>321</v>
      </c>
      <c r="C1332">
        <v>12</v>
      </c>
      <c r="D1332">
        <v>0</v>
      </c>
      <c r="G1332">
        <v>12</v>
      </c>
      <c r="H1332">
        <v>0</v>
      </c>
      <c r="I1332">
        <f t="shared" si="80"/>
        <v>1</v>
      </c>
      <c r="J1332">
        <f t="shared" si="81"/>
        <v>0</v>
      </c>
      <c r="K1332">
        <f t="shared" si="82"/>
        <v>0</v>
      </c>
      <c r="L1332">
        <f t="shared" si="83"/>
        <v>0</v>
      </c>
    </row>
    <row r="1333" spans="1:12" x14ac:dyDescent="0.25">
      <c r="A1333" t="s">
        <v>1518</v>
      </c>
      <c r="B1333" t="s">
        <v>321</v>
      </c>
      <c r="C1333">
        <v>16</v>
      </c>
      <c r="D1333">
        <v>0</v>
      </c>
      <c r="G1333">
        <v>16</v>
      </c>
      <c r="H1333">
        <v>0</v>
      </c>
      <c r="I1333">
        <f t="shared" si="80"/>
        <v>1</v>
      </c>
      <c r="J1333">
        <f t="shared" si="81"/>
        <v>0</v>
      </c>
      <c r="K1333">
        <f t="shared" si="82"/>
        <v>0</v>
      </c>
      <c r="L1333">
        <f t="shared" si="83"/>
        <v>0</v>
      </c>
    </row>
    <row r="1334" spans="1:12" x14ac:dyDescent="0.25">
      <c r="A1334" t="s">
        <v>1519</v>
      </c>
      <c r="B1334" t="s">
        <v>321</v>
      </c>
      <c r="C1334">
        <v>20</v>
      </c>
      <c r="D1334">
        <v>0</v>
      </c>
      <c r="G1334">
        <v>20</v>
      </c>
      <c r="H1334">
        <v>0</v>
      </c>
      <c r="I1334">
        <f t="shared" si="80"/>
        <v>1</v>
      </c>
      <c r="J1334">
        <f t="shared" si="81"/>
        <v>0</v>
      </c>
      <c r="K1334">
        <f t="shared" si="82"/>
        <v>0</v>
      </c>
      <c r="L1334">
        <f t="shared" si="83"/>
        <v>0</v>
      </c>
    </row>
    <row r="1335" spans="1:12" x14ac:dyDescent="0.25">
      <c r="A1335" t="s">
        <v>1520</v>
      </c>
      <c r="B1335" t="s">
        <v>321</v>
      </c>
      <c r="C1335">
        <v>14</v>
      </c>
      <c r="D1335">
        <v>6</v>
      </c>
      <c r="G1335">
        <v>20</v>
      </c>
      <c r="H1335">
        <v>0</v>
      </c>
      <c r="I1335">
        <f t="shared" si="80"/>
        <v>1</v>
      </c>
      <c r="J1335">
        <f t="shared" si="81"/>
        <v>0</v>
      </c>
      <c r="K1335">
        <f t="shared" si="82"/>
        <v>0</v>
      </c>
      <c r="L1335">
        <f t="shared" si="83"/>
        <v>1</v>
      </c>
    </row>
    <row r="1336" spans="1:12" x14ac:dyDescent="0.25">
      <c r="A1336" t="s">
        <v>1521</v>
      </c>
      <c r="B1336" t="s">
        <v>321</v>
      </c>
      <c r="C1336">
        <v>1</v>
      </c>
      <c r="E1336">
        <v>1</v>
      </c>
      <c r="G1336">
        <v>1</v>
      </c>
      <c r="H1336">
        <v>1</v>
      </c>
      <c r="I1336">
        <f t="shared" si="80"/>
        <v>1</v>
      </c>
      <c r="J1336">
        <f t="shared" si="81"/>
        <v>1</v>
      </c>
      <c r="K1336">
        <f t="shared" si="82"/>
        <v>0</v>
      </c>
      <c r="L1336">
        <f t="shared" si="83"/>
        <v>0</v>
      </c>
    </row>
    <row r="1337" spans="1:12" x14ac:dyDescent="0.25">
      <c r="A1337" t="s">
        <v>1522</v>
      </c>
      <c r="B1337" t="s">
        <v>321</v>
      </c>
      <c r="C1337">
        <v>12</v>
      </c>
      <c r="D1337">
        <v>4</v>
      </c>
      <c r="G1337">
        <v>16</v>
      </c>
      <c r="H1337">
        <v>0</v>
      </c>
      <c r="I1337">
        <f t="shared" si="80"/>
        <v>1</v>
      </c>
      <c r="J1337">
        <f t="shared" si="81"/>
        <v>0</v>
      </c>
      <c r="K1337">
        <f t="shared" si="82"/>
        <v>0</v>
      </c>
      <c r="L1337">
        <f t="shared" si="83"/>
        <v>1</v>
      </c>
    </row>
    <row r="1338" spans="1:12" x14ac:dyDescent="0.25">
      <c r="A1338" t="s">
        <v>1523</v>
      </c>
      <c r="B1338" t="s">
        <v>321</v>
      </c>
      <c r="C1338">
        <v>16</v>
      </c>
      <c r="D1338">
        <v>46</v>
      </c>
      <c r="G1338">
        <v>62</v>
      </c>
      <c r="H1338">
        <v>0</v>
      </c>
      <c r="I1338">
        <f t="shared" si="80"/>
        <v>1</v>
      </c>
      <c r="J1338">
        <f t="shared" si="81"/>
        <v>0</v>
      </c>
      <c r="K1338">
        <f t="shared" si="82"/>
        <v>0</v>
      </c>
      <c r="L1338">
        <f t="shared" si="83"/>
        <v>1</v>
      </c>
    </row>
    <row r="1339" spans="1:12" x14ac:dyDescent="0.25">
      <c r="A1339" t="s">
        <v>1524</v>
      </c>
      <c r="B1339" t="s">
        <v>321</v>
      </c>
      <c r="C1339">
        <v>12</v>
      </c>
      <c r="D1339">
        <v>6</v>
      </c>
      <c r="G1339">
        <v>18</v>
      </c>
      <c r="H1339">
        <v>0</v>
      </c>
      <c r="I1339">
        <f t="shared" si="80"/>
        <v>1</v>
      </c>
      <c r="J1339">
        <f t="shared" si="81"/>
        <v>0</v>
      </c>
      <c r="K1339">
        <f t="shared" si="82"/>
        <v>0</v>
      </c>
      <c r="L1339">
        <f t="shared" si="83"/>
        <v>1</v>
      </c>
    </row>
    <row r="1340" spans="1:12" x14ac:dyDescent="0.25">
      <c r="A1340" t="s">
        <v>1525</v>
      </c>
      <c r="B1340" t="s">
        <v>321</v>
      </c>
      <c r="C1340">
        <v>24</v>
      </c>
      <c r="D1340">
        <v>0</v>
      </c>
      <c r="G1340">
        <v>24</v>
      </c>
      <c r="H1340">
        <v>0</v>
      </c>
      <c r="I1340">
        <f t="shared" si="80"/>
        <v>1</v>
      </c>
      <c r="J1340">
        <f t="shared" si="81"/>
        <v>0</v>
      </c>
      <c r="K1340">
        <f t="shared" si="82"/>
        <v>0</v>
      </c>
      <c r="L1340">
        <f t="shared" si="83"/>
        <v>0</v>
      </c>
    </row>
    <row r="1341" spans="1:12" x14ac:dyDescent="0.25">
      <c r="A1341" t="s">
        <v>1526</v>
      </c>
      <c r="B1341" t="s">
        <v>321</v>
      </c>
      <c r="C1341">
        <v>6</v>
      </c>
      <c r="D1341">
        <v>12</v>
      </c>
      <c r="G1341">
        <v>18</v>
      </c>
      <c r="H1341">
        <v>0</v>
      </c>
      <c r="I1341">
        <f t="shared" si="80"/>
        <v>1</v>
      </c>
      <c r="J1341">
        <f t="shared" si="81"/>
        <v>0</v>
      </c>
      <c r="K1341">
        <f t="shared" si="82"/>
        <v>0</v>
      </c>
      <c r="L1341">
        <f t="shared" si="83"/>
        <v>1</v>
      </c>
    </row>
    <row r="1342" spans="1:12" x14ac:dyDescent="0.25">
      <c r="A1342" t="s">
        <v>1527</v>
      </c>
      <c r="B1342" t="s">
        <v>321</v>
      </c>
      <c r="C1342">
        <v>14</v>
      </c>
      <c r="D1342">
        <v>4</v>
      </c>
      <c r="G1342">
        <v>18</v>
      </c>
      <c r="H1342">
        <v>0</v>
      </c>
      <c r="I1342">
        <f t="shared" si="80"/>
        <v>1</v>
      </c>
      <c r="J1342">
        <f t="shared" si="81"/>
        <v>0</v>
      </c>
      <c r="K1342">
        <f t="shared" si="82"/>
        <v>0</v>
      </c>
      <c r="L1342">
        <f t="shared" si="83"/>
        <v>1</v>
      </c>
    </row>
    <row r="1343" spans="1:12" x14ac:dyDescent="0.25">
      <c r="A1343" t="s">
        <v>1528</v>
      </c>
      <c r="B1343" t="s">
        <v>321</v>
      </c>
      <c r="C1343">
        <v>6</v>
      </c>
      <c r="D1343">
        <v>12</v>
      </c>
      <c r="G1343">
        <v>18</v>
      </c>
      <c r="H1343">
        <v>0</v>
      </c>
      <c r="I1343">
        <f t="shared" si="80"/>
        <v>1</v>
      </c>
      <c r="J1343">
        <f t="shared" si="81"/>
        <v>0</v>
      </c>
      <c r="K1343">
        <f t="shared" si="82"/>
        <v>0</v>
      </c>
      <c r="L1343">
        <f t="shared" si="83"/>
        <v>1</v>
      </c>
    </row>
    <row r="1344" spans="1:12" x14ac:dyDescent="0.25">
      <c r="A1344" t="s">
        <v>1529</v>
      </c>
      <c r="B1344" t="s">
        <v>321</v>
      </c>
      <c r="C1344">
        <v>16</v>
      </c>
      <c r="D1344">
        <v>8</v>
      </c>
      <c r="G1344">
        <v>24</v>
      </c>
      <c r="H1344">
        <v>0</v>
      </c>
      <c r="I1344">
        <f t="shared" si="80"/>
        <v>1</v>
      </c>
      <c r="J1344">
        <f t="shared" si="81"/>
        <v>0</v>
      </c>
      <c r="K1344">
        <f t="shared" si="82"/>
        <v>0</v>
      </c>
      <c r="L1344">
        <f t="shared" si="83"/>
        <v>1</v>
      </c>
    </row>
    <row r="1345" spans="1:12" x14ac:dyDescent="0.25">
      <c r="A1345" t="s">
        <v>1530</v>
      </c>
      <c r="B1345" t="s">
        <v>321</v>
      </c>
      <c r="C1345">
        <v>16</v>
      </c>
      <c r="D1345">
        <v>0</v>
      </c>
      <c r="G1345">
        <v>16</v>
      </c>
      <c r="H1345">
        <v>0</v>
      </c>
      <c r="I1345">
        <f t="shared" si="80"/>
        <v>1</v>
      </c>
      <c r="J1345">
        <f t="shared" si="81"/>
        <v>0</v>
      </c>
      <c r="K1345">
        <f t="shared" si="82"/>
        <v>0</v>
      </c>
      <c r="L1345">
        <f t="shared" si="83"/>
        <v>0</v>
      </c>
    </row>
    <row r="1346" spans="1:12" x14ac:dyDescent="0.25">
      <c r="A1346" t="s">
        <v>1531</v>
      </c>
      <c r="B1346" t="s">
        <v>321</v>
      </c>
      <c r="C1346">
        <v>6</v>
      </c>
      <c r="D1346">
        <v>4</v>
      </c>
      <c r="G1346">
        <v>10</v>
      </c>
      <c r="H1346">
        <v>0</v>
      </c>
      <c r="I1346">
        <f t="shared" si="80"/>
        <v>1</v>
      </c>
      <c r="J1346">
        <f t="shared" si="81"/>
        <v>0</v>
      </c>
      <c r="K1346">
        <f t="shared" si="82"/>
        <v>0</v>
      </c>
      <c r="L1346">
        <f t="shared" si="83"/>
        <v>1</v>
      </c>
    </row>
    <row r="1347" spans="1:12" x14ac:dyDescent="0.25">
      <c r="A1347" t="s">
        <v>1532</v>
      </c>
      <c r="B1347" t="s">
        <v>321</v>
      </c>
      <c r="C1347">
        <v>14</v>
      </c>
      <c r="D1347">
        <v>8</v>
      </c>
      <c r="G1347">
        <v>22</v>
      </c>
      <c r="H1347">
        <v>0</v>
      </c>
      <c r="I1347">
        <f t="shared" ref="I1347:I1410" si="84">IF(C1347&gt;0, 1, 0)</f>
        <v>1</v>
      </c>
      <c r="J1347">
        <f t="shared" ref="J1347:J1410" si="85">IF(E1347&gt;0, 1,0)</f>
        <v>0</v>
      </c>
      <c r="K1347">
        <f t="shared" ref="K1347:K1410" si="86">IF(F1347&gt;0, 1, 0)</f>
        <v>0</v>
      </c>
      <c r="L1347">
        <f t="shared" ref="L1347:L1410" si="87">IF(D1347&gt;0, 1, 0)</f>
        <v>1</v>
      </c>
    </row>
    <row r="1348" spans="1:12" x14ac:dyDescent="0.25">
      <c r="A1348" t="s">
        <v>1533</v>
      </c>
      <c r="B1348" t="s">
        <v>321</v>
      </c>
      <c r="C1348">
        <v>12</v>
      </c>
      <c r="E1348">
        <v>4</v>
      </c>
      <c r="G1348">
        <v>12</v>
      </c>
      <c r="H1348">
        <v>4</v>
      </c>
      <c r="I1348">
        <f t="shared" si="84"/>
        <v>1</v>
      </c>
      <c r="J1348">
        <f t="shared" si="85"/>
        <v>1</v>
      </c>
      <c r="K1348">
        <f t="shared" si="86"/>
        <v>0</v>
      </c>
      <c r="L1348">
        <f t="shared" si="87"/>
        <v>0</v>
      </c>
    </row>
    <row r="1349" spans="1:12" x14ac:dyDescent="0.25">
      <c r="A1349" t="s">
        <v>1534</v>
      </c>
      <c r="B1349" t="s">
        <v>329</v>
      </c>
      <c r="C1349">
        <v>13</v>
      </c>
      <c r="D1349">
        <v>0</v>
      </c>
      <c r="G1349">
        <v>13</v>
      </c>
      <c r="H1349">
        <v>0</v>
      </c>
      <c r="I1349">
        <f t="shared" si="84"/>
        <v>1</v>
      </c>
      <c r="J1349">
        <f t="shared" si="85"/>
        <v>0</v>
      </c>
      <c r="K1349">
        <f t="shared" si="86"/>
        <v>0</v>
      </c>
      <c r="L1349">
        <f t="shared" si="87"/>
        <v>0</v>
      </c>
    </row>
    <row r="1350" spans="1:12" x14ac:dyDescent="0.25">
      <c r="A1350" t="s">
        <v>1535</v>
      </c>
      <c r="B1350" t="s">
        <v>329</v>
      </c>
      <c r="C1350">
        <v>16</v>
      </c>
      <c r="D1350">
        <v>10</v>
      </c>
      <c r="G1350">
        <v>26</v>
      </c>
      <c r="H1350">
        <v>0</v>
      </c>
      <c r="I1350">
        <f t="shared" si="84"/>
        <v>1</v>
      </c>
      <c r="J1350">
        <f t="shared" si="85"/>
        <v>0</v>
      </c>
      <c r="K1350">
        <f t="shared" si="86"/>
        <v>0</v>
      </c>
      <c r="L1350">
        <f t="shared" si="87"/>
        <v>1</v>
      </c>
    </row>
    <row r="1351" spans="1:12" x14ac:dyDescent="0.25">
      <c r="A1351" t="s">
        <v>1536</v>
      </c>
      <c r="B1351" t="s">
        <v>329</v>
      </c>
      <c r="C1351">
        <v>12</v>
      </c>
      <c r="D1351">
        <v>40</v>
      </c>
      <c r="G1351">
        <v>52</v>
      </c>
      <c r="H1351">
        <v>0</v>
      </c>
      <c r="I1351">
        <f t="shared" si="84"/>
        <v>1</v>
      </c>
      <c r="J1351">
        <f t="shared" si="85"/>
        <v>0</v>
      </c>
      <c r="K1351">
        <f t="shared" si="86"/>
        <v>0</v>
      </c>
      <c r="L1351">
        <f t="shared" si="87"/>
        <v>1</v>
      </c>
    </row>
    <row r="1352" spans="1:12" x14ac:dyDescent="0.25">
      <c r="A1352" t="s">
        <v>1537</v>
      </c>
      <c r="B1352" t="s">
        <v>329</v>
      </c>
      <c r="C1352">
        <v>12</v>
      </c>
      <c r="D1352">
        <v>0</v>
      </c>
      <c r="G1352">
        <v>12</v>
      </c>
      <c r="H1352">
        <v>0</v>
      </c>
      <c r="I1352">
        <f t="shared" si="84"/>
        <v>1</v>
      </c>
      <c r="J1352">
        <f t="shared" si="85"/>
        <v>0</v>
      </c>
      <c r="K1352">
        <f t="shared" si="86"/>
        <v>0</v>
      </c>
      <c r="L1352">
        <f t="shared" si="87"/>
        <v>0</v>
      </c>
    </row>
    <row r="1353" spans="1:12" x14ac:dyDescent="0.25">
      <c r="A1353" t="s">
        <v>1538</v>
      </c>
      <c r="B1353" t="s">
        <v>329</v>
      </c>
      <c r="C1353">
        <v>12</v>
      </c>
      <c r="D1353">
        <v>0</v>
      </c>
      <c r="G1353">
        <v>12</v>
      </c>
      <c r="H1353">
        <v>0</v>
      </c>
      <c r="I1353">
        <f t="shared" si="84"/>
        <v>1</v>
      </c>
      <c r="J1353">
        <f t="shared" si="85"/>
        <v>0</v>
      </c>
      <c r="K1353">
        <f t="shared" si="86"/>
        <v>0</v>
      </c>
      <c r="L1353">
        <f t="shared" si="87"/>
        <v>0</v>
      </c>
    </row>
    <row r="1354" spans="1:12" x14ac:dyDescent="0.25">
      <c r="A1354" t="s">
        <v>1539</v>
      </c>
      <c r="B1354" t="s">
        <v>329</v>
      </c>
      <c r="C1354">
        <v>13</v>
      </c>
      <c r="D1354">
        <v>3</v>
      </c>
      <c r="G1354">
        <v>16</v>
      </c>
      <c r="H1354">
        <v>0</v>
      </c>
      <c r="I1354">
        <f t="shared" si="84"/>
        <v>1</v>
      </c>
      <c r="J1354">
        <f t="shared" si="85"/>
        <v>0</v>
      </c>
      <c r="K1354">
        <f t="shared" si="86"/>
        <v>0</v>
      </c>
      <c r="L1354">
        <f t="shared" si="87"/>
        <v>1</v>
      </c>
    </row>
    <row r="1355" spans="1:12" x14ac:dyDescent="0.25">
      <c r="A1355" t="s">
        <v>1540</v>
      </c>
      <c r="B1355" t="s">
        <v>329</v>
      </c>
      <c r="C1355">
        <v>12</v>
      </c>
      <c r="D1355">
        <v>6</v>
      </c>
      <c r="G1355">
        <v>18</v>
      </c>
      <c r="H1355">
        <v>0</v>
      </c>
      <c r="I1355">
        <f t="shared" si="84"/>
        <v>1</v>
      </c>
      <c r="J1355">
        <f t="shared" si="85"/>
        <v>0</v>
      </c>
      <c r="K1355">
        <f t="shared" si="86"/>
        <v>0</v>
      </c>
      <c r="L1355">
        <f t="shared" si="87"/>
        <v>1</v>
      </c>
    </row>
    <row r="1356" spans="1:12" x14ac:dyDescent="0.25">
      <c r="A1356" t="s">
        <v>1541</v>
      </c>
      <c r="B1356" t="s">
        <v>329</v>
      </c>
      <c r="C1356">
        <v>12</v>
      </c>
      <c r="D1356">
        <v>0</v>
      </c>
      <c r="G1356">
        <v>12</v>
      </c>
      <c r="H1356">
        <v>0</v>
      </c>
      <c r="I1356">
        <f t="shared" si="84"/>
        <v>1</v>
      </c>
      <c r="J1356">
        <f t="shared" si="85"/>
        <v>0</v>
      </c>
      <c r="K1356">
        <f t="shared" si="86"/>
        <v>0</v>
      </c>
      <c r="L1356">
        <f t="shared" si="87"/>
        <v>0</v>
      </c>
    </row>
    <row r="1357" spans="1:12" x14ac:dyDescent="0.25">
      <c r="A1357" t="s">
        <v>1542</v>
      </c>
      <c r="B1357" t="s">
        <v>329</v>
      </c>
      <c r="C1357">
        <v>16</v>
      </c>
      <c r="D1357">
        <v>0</v>
      </c>
      <c r="G1357">
        <v>16</v>
      </c>
      <c r="H1357">
        <v>0</v>
      </c>
      <c r="I1357">
        <f t="shared" si="84"/>
        <v>1</v>
      </c>
      <c r="J1357">
        <f t="shared" si="85"/>
        <v>0</v>
      </c>
      <c r="K1357">
        <f t="shared" si="86"/>
        <v>0</v>
      </c>
      <c r="L1357">
        <f t="shared" si="87"/>
        <v>0</v>
      </c>
    </row>
    <row r="1358" spans="1:12" x14ac:dyDescent="0.25">
      <c r="A1358" t="s">
        <v>1543</v>
      </c>
      <c r="B1358" t="s">
        <v>73</v>
      </c>
      <c r="C1358">
        <v>18</v>
      </c>
      <c r="D1358">
        <v>0</v>
      </c>
      <c r="G1358">
        <v>18</v>
      </c>
      <c r="H1358">
        <v>0</v>
      </c>
      <c r="I1358">
        <f t="shared" si="84"/>
        <v>1</v>
      </c>
      <c r="J1358">
        <f t="shared" si="85"/>
        <v>0</v>
      </c>
      <c r="K1358">
        <f t="shared" si="86"/>
        <v>0</v>
      </c>
      <c r="L1358">
        <f t="shared" si="87"/>
        <v>0</v>
      </c>
    </row>
    <row r="1359" spans="1:12" x14ac:dyDescent="0.25">
      <c r="A1359" t="s">
        <v>1544</v>
      </c>
      <c r="B1359" t="s">
        <v>332</v>
      </c>
      <c r="C1359">
        <v>5</v>
      </c>
      <c r="D1359">
        <v>5</v>
      </c>
      <c r="G1359">
        <v>10</v>
      </c>
      <c r="H1359">
        <v>0</v>
      </c>
      <c r="I1359">
        <f t="shared" si="84"/>
        <v>1</v>
      </c>
      <c r="J1359">
        <f t="shared" si="85"/>
        <v>0</v>
      </c>
      <c r="K1359">
        <f t="shared" si="86"/>
        <v>0</v>
      </c>
      <c r="L1359">
        <f t="shared" si="87"/>
        <v>1</v>
      </c>
    </row>
    <row r="1360" spans="1:12" x14ac:dyDescent="0.25">
      <c r="A1360" t="s">
        <v>1545</v>
      </c>
      <c r="B1360" t="s">
        <v>332</v>
      </c>
      <c r="C1360">
        <v>8</v>
      </c>
      <c r="D1360">
        <v>0</v>
      </c>
      <c r="G1360">
        <v>8</v>
      </c>
      <c r="H1360">
        <v>0</v>
      </c>
      <c r="I1360">
        <f t="shared" si="84"/>
        <v>1</v>
      </c>
      <c r="J1360">
        <f t="shared" si="85"/>
        <v>0</v>
      </c>
      <c r="K1360">
        <f t="shared" si="86"/>
        <v>0</v>
      </c>
      <c r="L1360">
        <f t="shared" si="87"/>
        <v>0</v>
      </c>
    </row>
    <row r="1361" spans="1:12" x14ac:dyDescent="0.25">
      <c r="A1361" t="s">
        <v>1546</v>
      </c>
      <c r="B1361" t="s">
        <v>332</v>
      </c>
      <c r="C1361">
        <v>8</v>
      </c>
      <c r="D1361">
        <v>0</v>
      </c>
      <c r="G1361">
        <v>8</v>
      </c>
      <c r="H1361">
        <v>0</v>
      </c>
      <c r="I1361">
        <f t="shared" si="84"/>
        <v>1</v>
      </c>
      <c r="J1361">
        <f t="shared" si="85"/>
        <v>0</v>
      </c>
      <c r="K1361">
        <f t="shared" si="86"/>
        <v>0</v>
      </c>
      <c r="L1361">
        <f t="shared" si="87"/>
        <v>0</v>
      </c>
    </row>
    <row r="1362" spans="1:12" x14ac:dyDescent="0.25">
      <c r="A1362" t="s">
        <v>1547</v>
      </c>
      <c r="B1362" t="s">
        <v>332</v>
      </c>
      <c r="C1362">
        <v>10</v>
      </c>
      <c r="D1362">
        <v>6</v>
      </c>
      <c r="G1362">
        <v>16</v>
      </c>
      <c r="H1362">
        <v>0</v>
      </c>
      <c r="I1362">
        <f t="shared" si="84"/>
        <v>1</v>
      </c>
      <c r="J1362">
        <f t="shared" si="85"/>
        <v>0</v>
      </c>
      <c r="K1362">
        <f t="shared" si="86"/>
        <v>0</v>
      </c>
      <c r="L1362">
        <f t="shared" si="87"/>
        <v>1</v>
      </c>
    </row>
    <row r="1363" spans="1:12" x14ac:dyDescent="0.25">
      <c r="A1363" t="s">
        <v>1548</v>
      </c>
      <c r="B1363" t="s">
        <v>332</v>
      </c>
      <c r="C1363">
        <v>9</v>
      </c>
      <c r="D1363">
        <v>11</v>
      </c>
      <c r="G1363">
        <v>20</v>
      </c>
      <c r="H1363">
        <v>0</v>
      </c>
      <c r="I1363">
        <f t="shared" si="84"/>
        <v>1</v>
      </c>
      <c r="J1363">
        <f t="shared" si="85"/>
        <v>0</v>
      </c>
      <c r="K1363">
        <f t="shared" si="86"/>
        <v>0</v>
      </c>
      <c r="L1363">
        <f t="shared" si="87"/>
        <v>1</v>
      </c>
    </row>
    <row r="1364" spans="1:12" x14ac:dyDescent="0.25">
      <c r="A1364" t="s">
        <v>1549</v>
      </c>
      <c r="B1364" t="s">
        <v>332</v>
      </c>
      <c r="C1364">
        <v>12</v>
      </c>
      <c r="D1364">
        <v>2</v>
      </c>
      <c r="G1364">
        <v>14</v>
      </c>
      <c r="H1364">
        <v>0</v>
      </c>
      <c r="I1364">
        <f t="shared" si="84"/>
        <v>1</v>
      </c>
      <c r="J1364">
        <f t="shared" si="85"/>
        <v>0</v>
      </c>
      <c r="K1364">
        <f t="shared" si="86"/>
        <v>0</v>
      </c>
      <c r="L1364">
        <f t="shared" si="87"/>
        <v>1</v>
      </c>
    </row>
    <row r="1365" spans="1:12" x14ac:dyDescent="0.25">
      <c r="A1365" t="s">
        <v>1550</v>
      </c>
      <c r="B1365" t="s">
        <v>332</v>
      </c>
      <c r="C1365">
        <v>18</v>
      </c>
      <c r="D1365">
        <v>0</v>
      </c>
      <c r="G1365">
        <v>18</v>
      </c>
      <c r="H1365">
        <v>0</v>
      </c>
      <c r="I1365">
        <f t="shared" si="84"/>
        <v>1</v>
      </c>
      <c r="J1365">
        <f t="shared" si="85"/>
        <v>0</v>
      </c>
      <c r="K1365">
        <f t="shared" si="86"/>
        <v>0</v>
      </c>
      <c r="L1365">
        <f t="shared" si="87"/>
        <v>0</v>
      </c>
    </row>
    <row r="1366" spans="1:12" x14ac:dyDescent="0.25">
      <c r="A1366" t="s">
        <v>1551</v>
      </c>
      <c r="B1366" t="s">
        <v>332</v>
      </c>
      <c r="C1366">
        <v>12</v>
      </c>
      <c r="D1366">
        <v>12</v>
      </c>
      <c r="G1366">
        <v>24</v>
      </c>
      <c r="H1366">
        <v>0</v>
      </c>
      <c r="I1366">
        <f t="shared" si="84"/>
        <v>1</v>
      </c>
      <c r="J1366">
        <f t="shared" si="85"/>
        <v>0</v>
      </c>
      <c r="K1366">
        <f t="shared" si="86"/>
        <v>0</v>
      </c>
      <c r="L1366">
        <f t="shared" si="87"/>
        <v>1</v>
      </c>
    </row>
    <row r="1367" spans="1:12" x14ac:dyDescent="0.25">
      <c r="A1367" t="s">
        <v>1552</v>
      </c>
      <c r="B1367" t="s">
        <v>75</v>
      </c>
      <c r="C1367">
        <v>6</v>
      </c>
      <c r="D1367">
        <v>0</v>
      </c>
      <c r="G1367">
        <v>6</v>
      </c>
      <c r="H1367">
        <v>0</v>
      </c>
      <c r="I1367">
        <f t="shared" si="84"/>
        <v>1</v>
      </c>
      <c r="J1367">
        <f t="shared" si="85"/>
        <v>0</v>
      </c>
      <c r="K1367">
        <f t="shared" si="86"/>
        <v>0</v>
      </c>
      <c r="L1367">
        <f t="shared" si="87"/>
        <v>0</v>
      </c>
    </row>
    <row r="1368" spans="1:12" x14ac:dyDescent="0.25">
      <c r="A1368" t="s">
        <v>1553</v>
      </c>
      <c r="B1368" t="s">
        <v>75</v>
      </c>
      <c r="C1368">
        <v>12</v>
      </c>
      <c r="D1368">
        <v>0</v>
      </c>
      <c r="G1368">
        <v>12</v>
      </c>
      <c r="H1368">
        <v>0</v>
      </c>
      <c r="I1368">
        <f t="shared" si="84"/>
        <v>1</v>
      </c>
      <c r="J1368">
        <f t="shared" si="85"/>
        <v>0</v>
      </c>
      <c r="K1368">
        <f t="shared" si="86"/>
        <v>0</v>
      </c>
      <c r="L1368">
        <f t="shared" si="87"/>
        <v>0</v>
      </c>
    </row>
    <row r="1369" spans="1:12" x14ac:dyDescent="0.25">
      <c r="A1369" t="s">
        <v>1554</v>
      </c>
      <c r="B1369" t="s">
        <v>75</v>
      </c>
      <c r="C1369">
        <v>12</v>
      </c>
      <c r="D1369">
        <v>0</v>
      </c>
      <c r="G1369">
        <v>12</v>
      </c>
      <c r="H1369">
        <v>0</v>
      </c>
      <c r="I1369">
        <f t="shared" si="84"/>
        <v>1</v>
      </c>
      <c r="J1369">
        <f t="shared" si="85"/>
        <v>0</v>
      </c>
      <c r="K1369">
        <f t="shared" si="86"/>
        <v>0</v>
      </c>
      <c r="L1369">
        <f t="shared" si="87"/>
        <v>0</v>
      </c>
    </row>
    <row r="1370" spans="1:12" x14ac:dyDescent="0.25">
      <c r="A1370" t="s">
        <v>1555</v>
      </c>
      <c r="B1370" t="s">
        <v>75</v>
      </c>
      <c r="C1370">
        <v>12</v>
      </c>
      <c r="E1370">
        <v>12</v>
      </c>
      <c r="G1370">
        <v>12</v>
      </c>
      <c r="H1370">
        <v>12</v>
      </c>
      <c r="I1370">
        <f t="shared" si="84"/>
        <v>1</v>
      </c>
      <c r="J1370">
        <f t="shared" si="85"/>
        <v>1</v>
      </c>
      <c r="K1370">
        <f t="shared" si="86"/>
        <v>0</v>
      </c>
      <c r="L1370">
        <f t="shared" si="87"/>
        <v>0</v>
      </c>
    </row>
    <row r="1371" spans="1:12" x14ac:dyDescent="0.25">
      <c r="A1371" t="s">
        <v>1556</v>
      </c>
      <c r="B1371" t="s">
        <v>75</v>
      </c>
      <c r="C1371">
        <v>4</v>
      </c>
      <c r="D1371">
        <v>2</v>
      </c>
      <c r="G1371">
        <v>6</v>
      </c>
      <c r="H1371">
        <v>0</v>
      </c>
      <c r="I1371">
        <f t="shared" si="84"/>
        <v>1</v>
      </c>
      <c r="J1371">
        <f t="shared" si="85"/>
        <v>0</v>
      </c>
      <c r="K1371">
        <f t="shared" si="86"/>
        <v>0</v>
      </c>
      <c r="L1371">
        <f t="shared" si="87"/>
        <v>1</v>
      </c>
    </row>
    <row r="1372" spans="1:12" x14ac:dyDescent="0.25">
      <c r="A1372" t="s">
        <v>1557</v>
      </c>
      <c r="B1372" t="s">
        <v>75</v>
      </c>
      <c r="C1372">
        <v>6</v>
      </c>
      <c r="D1372">
        <v>6</v>
      </c>
      <c r="G1372">
        <v>12</v>
      </c>
      <c r="H1372">
        <v>0</v>
      </c>
      <c r="I1372">
        <f t="shared" si="84"/>
        <v>1</v>
      </c>
      <c r="J1372">
        <f t="shared" si="85"/>
        <v>0</v>
      </c>
      <c r="K1372">
        <f t="shared" si="86"/>
        <v>0</v>
      </c>
      <c r="L1372">
        <f t="shared" si="87"/>
        <v>1</v>
      </c>
    </row>
    <row r="1373" spans="1:12" x14ac:dyDescent="0.25">
      <c r="A1373" t="s">
        <v>1558</v>
      </c>
      <c r="B1373" t="s">
        <v>75</v>
      </c>
      <c r="C1373">
        <v>13</v>
      </c>
      <c r="D1373">
        <v>0</v>
      </c>
      <c r="G1373">
        <v>13</v>
      </c>
      <c r="H1373">
        <v>0</v>
      </c>
      <c r="I1373">
        <f t="shared" si="84"/>
        <v>1</v>
      </c>
      <c r="J1373">
        <f t="shared" si="85"/>
        <v>0</v>
      </c>
      <c r="K1373">
        <f t="shared" si="86"/>
        <v>0</v>
      </c>
      <c r="L1373">
        <f t="shared" si="87"/>
        <v>0</v>
      </c>
    </row>
    <row r="1374" spans="1:12" x14ac:dyDescent="0.25">
      <c r="A1374" t="s">
        <v>1559</v>
      </c>
      <c r="B1374" t="s">
        <v>75</v>
      </c>
      <c r="C1374">
        <v>12</v>
      </c>
      <c r="D1374">
        <v>0</v>
      </c>
      <c r="G1374">
        <v>12</v>
      </c>
      <c r="H1374">
        <v>0</v>
      </c>
      <c r="I1374">
        <f t="shared" si="84"/>
        <v>1</v>
      </c>
      <c r="J1374">
        <f t="shared" si="85"/>
        <v>0</v>
      </c>
      <c r="K1374">
        <f t="shared" si="86"/>
        <v>0</v>
      </c>
      <c r="L1374">
        <f t="shared" si="87"/>
        <v>0</v>
      </c>
    </row>
    <row r="1375" spans="1:12" x14ac:dyDescent="0.25">
      <c r="A1375" t="s">
        <v>1560</v>
      </c>
      <c r="B1375" t="s">
        <v>75</v>
      </c>
      <c r="C1375">
        <v>12</v>
      </c>
      <c r="D1375">
        <v>4</v>
      </c>
      <c r="G1375">
        <v>16</v>
      </c>
      <c r="H1375">
        <v>0</v>
      </c>
      <c r="I1375">
        <f t="shared" si="84"/>
        <v>1</v>
      </c>
      <c r="J1375">
        <f t="shared" si="85"/>
        <v>0</v>
      </c>
      <c r="K1375">
        <f t="shared" si="86"/>
        <v>0</v>
      </c>
      <c r="L1375">
        <f t="shared" si="87"/>
        <v>1</v>
      </c>
    </row>
    <row r="1376" spans="1:12" x14ac:dyDescent="0.25">
      <c r="A1376" t="s">
        <v>1561</v>
      </c>
      <c r="B1376" t="s">
        <v>75</v>
      </c>
      <c r="C1376">
        <v>25</v>
      </c>
      <c r="D1376">
        <v>0</v>
      </c>
      <c r="G1376">
        <v>25</v>
      </c>
      <c r="H1376">
        <v>0</v>
      </c>
      <c r="I1376">
        <f t="shared" si="84"/>
        <v>1</v>
      </c>
      <c r="J1376">
        <f t="shared" si="85"/>
        <v>0</v>
      </c>
      <c r="K1376">
        <f t="shared" si="86"/>
        <v>0</v>
      </c>
      <c r="L1376">
        <f t="shared" si="87"/>
        <v>0</v>
      </c>
    </row>
    <row r="1377" spans="1:12" x14ac:dyDescent="0.25">
      <c r="A1377" t="s">
        <v>1562</v>
      </c>
      <c r="B1377" t="s">
        <v>75</v>
      </c>
      <c r="C1377">
        <v>12</v>
      </c>
      <c r="D1377">
        <v>0</v>
      </c>
      <c r="G1377">
        <v>12</v>
      </c>
      <c r="H1377">
        <v>0</v>
      </c>
      <c r="I1377">
        <f t="shared" si="84"/>
        <v>1</v>
      </c>
      <c r="J1377">
        <f t="shared" si="85"/>
        <v>0</v>
      </c>
      <c r="K1377">
        <f t="shared" si="86"/>
        <v>0</v>
      </c>
      <c r="L1377">
        <f t="shared" si="87"/>
        <v>0</v>
      </c>
    </row>
    <row r="1378" spans="1:12" x14ac:dyDescent="0.25">
      <c r="A1378" t="s">
        <v>1563</v>
      </c>
      <c r="B1378" t="s">
        <v>75</v>
      </c>
      <c r="C1378">
        <v>15.5</v>
      </c>
      <c r="D1378">
        <v>0</v>
      </c>
      <c r="G1378">
        <v>15.5</v>
      </c>
      <c r="H1378">
        <v>0</v>
      </c>
      <c r="I1378">
        <f t="shared" si="84"/>
        <v>1</v>
      </c>
      <c r="J1378">
        <f t="shared" si="85"/>
        <v>0</v>
      </c>
      <c r="K1378">
        <f t="shared" si="86"/>
        <v>0</v>
      </c>
      <c r="L1378">
        <f t="shared" si="87"/>
        <v>0</v>
      </c>
    </row>
    <row r="1379" spans="1:12" x14ac:dyDescent="0.25">
      <c r="A1379" t="s">
        <v>1564</v>
      </c>
      <c r="B1379" t="s">
        <v>75</v>
      </c>
      <c r="C1379">
        <v>12</v>
      </c>
      <c r="D1379">
        <v>0</v>
      </c>
      <c r="G1379">
        <v>12</v>
      </c>
      <c r="H1379">
        <v>0</v>
      </c>
      <c r="I1379">
        <f t="shared" si="84"/>
        <v>1</v>
      </c>
      <c r="J1379">
        <f t="shared" si="85"/>
        <v>0</v>
      </c>
      <c r="K1379">
        <f t="shared" si="86"/>
        <v>0</v>
      </c>
      <c r="L1379">
        <f t="shared" si="87"/>
        <v>0</v>
      </c>
    </row>
    <row r="1380" spans="1:12" x14ac:dyDescent="0.25">
      <c r="A1380" t="s">
        <v>1565</v>
      </c>
      <c r="B1380" t="s">
        <v>75</v>
      </c>
      <c r="C1380">
        <v>6</v>
      </c>
      <c r="D1380">
        <v>6</v>
      </c>
      <c r="G1380">
        <v>12</v>
      </c>
      <c r="H1380">
        <v>0</v>
      </c>
      <c r="I1380">
        <f t="shared" si="84"/>
        <v>1</v>
      </c>
      <c r="J1380">
        <f t="shared" si="85"/>
        <v>0</v>
      </c>
      <c r="K1380">
        <f t="shared" si="86"/>
        <v>0</v>
      </c>
      <c r="L1380">
        <f t="shared" si="87"/>
        <v>1</v>
      </c>
    </row>
    <row r="1381" spans="1:12" x14ac:dyDescent="0.25">
      <c r="A1381" t="s">
        <v>1566</v>
      </c>
      <c r="B1381" t="s">
        <v>75</v>
      </c>
      <c r="C1381">
        <v>12</v>
      </c>
      <c r="D1381">
        <v>0</v>
      </c>
      <c r="G1381">
        <v>12</v>
      </c>
      <c r="H1381">
        <v>0</v>
      </c>
      <c r="I1381">
        <f t="shared" si="84"/>
        <v>1</v>
      </c>
      <c r="J1381">
        <f t="shared" si="85"/>
        <v>0</v>
      </c>
      <c r="K1381">
        <f t="shared" si="86"/>
        <v>0</v>
      </c>
      <c r="L1381">
        <f t="shared" si="87"/>
        <v>0</v>
      </c>
    </row>
    <row r="1382" spans="1:12" x14ac:dyDescent="0.25">
      <c r="A1382" t="s">
        <v>1567</v>
      </c>
      <c r="B1382" t="s">
        <v>75</v>
      </c>
      <c r="C1382">
        <v>52</v>
      </c>
      <c r="D1382">
        <v>52</v>
      </c>
      <c r="G1382">
        <v>104</v>
      </c>
      <c r="H1382">
        <v>0</v>
      </c>
      <c r="I1382">
        <f t="shared" si="84"/>
        <v>1</v>
      </c>
      <c r="J1382">
        <f t="shared" si="85"/>
        <v>0</v>
      </c>
      <c r="K1382">
        <f t="shared" si="86"/>
        <v>0</v>
      </c>
      <c r="L1382">
        <f t="shared" si="87"/>
        <v>1</v>
      </c>
    </row>
    <row r="1383" spans="1:12" x14ac:dyDescent="0.25">
      <c r="A1383" t="s">
        <v>1568</v>
      </c>
      <c r="B1383" t="s">
        <v>75</v>
      </c>
      <c r="C1383">
        <v>12</v>
      </c>
      <c r="D1383">
        <v>0</v>
      </c>
      <c r="G1383">
        <v>12</v>
      </c>
      <c r="H1383">
        <v>0</v>
      </c>
      <c r="I1383">
        <f t="shared" si="84"/>
        <v>1</v>
      </c>
      <c r="J1383">
        <f t="shared" si="85"/>
        <v>0</v>
      </c>
      <c r="K1383">
        <f t="shared" si="86"/>
        <v>0</v>
      </c>
      <c r="L1383">
        <f t="shared" si="87"/>
        <v>0</v>
      </c>
    </row>
    <row r="1384" spans="1:12" x14ac:dyDescent="0.25">
      <c r="A1384" t="s">
        <v>1569</v>
      </c>
      <c r="B1384" t="s">
        <v>75</v>
      </c>
      <c r="C1384">
        <v>12</v>
      </c>
      <c r="D1384">
        <v>0</v>
      </c>
      <c r="G1384">
        <v>12</v>
      </c>
      <c r="H1384">
        <v>0</v>
      </c>
      <c r="I1384">
        <f t="shared" si="84"/>
        <v>1</v>
      </c>
      <c r="J1384">
        <f t="shared" si="85"/>
        <v>0</v>
      </c>
      <c r="K1384">
        <f t="shared" si="86"/>
        <v>0</v>
      </c>
      <c r="L1384">
        <f t="shared" si="87"/>
        <v>0</v>
      </c>
    </row>
    <row r="1385" spans="1:12" x14ac:dyDescent="0.25">
      <c r="A1385" t="s">
        <v>1570</v>
      </c>
      <c r="B1385" t="s">
        <v>75</v>
      </c>
      <c r="C1385">
        <v>6</v>
      </c>
      <c r="D1385">
        <v>12</v>
      </c>
      <c r="G1385">
        <v>18</v>
      </c>
      <c r="H1385">
        <v>0</v>
      </c>
      <c r="I1385">
        <f t="shared" si="84"/>
        <v>1</v>
      </c>
      <c r="J1385">
        <f t="shared" si="85"/>
        <v>0</v>
      </c>
      <c r="K1385">
        <f t="shared" si="86"/>
        <v>0</v>
      </c>
      <c r="L1385">
        <f t="shared" si="87"/>
        <v>1</v>
      </c>
    </row>
    <row r="1386" spans="1:12" x14ac:dyDescent="0.25">
      <c r="A1386" t="s">
        <v>1571</v>
      </c>
      <c r="B1386" t="s">
        <v>75</v>
      </c>
      <c r="C1386">
        <v>18</v>
      </c>
      <c r="D1386">
        <v>23</v>
      </c>
      <c r="G1386">
        <v>41</v>
      </c>
      <c r="H1386">
        <v>0</v>
      </c>
      <c r="I1386">
        <f t="shared" si="84"/>
        <v>1</v>
      </c>
      <c r="J1386">
        <f t="shared" si="85"/>
        <v>0</v>
      </c>
      <c r="K1386">
        <f t="shared" si="86"/>
        <v>0</v>
      </c>
      <c r="L1386">
        <f t="shared" si="87"/>
        <v>1</v>
      </c>
    </row>
    <row r="1387" spans="1:12" x14ac:dyDescent="0.25">
      <c r="A1387" t="s">
        <v>1572</v>
      </c>
      <c r="B1387" t="s">
        <v>75</v>
      </c>
      <c r="C1387">
        <v>8</v>
      </c>
      <c r="D1387">
        <v>0</v>
      </c>
      <c r="G1387">
        <v>8</v>
      </c>
      <c r="H1387">
        <v>0</v>
      </c>
      <c r="I1387">
        <f t="shared" si="84"/>
        <v>1</v>
      </c>
      <c r="J1387">
        <f t="shared" si="85"/>
        <v>0</v>
      </c>
      <c r="K1387">
        <f t="shared" si="86"/>
        <v>0</v>
      </c>
      <c r="L1387">
        <f t="shared" si="87"/>
        <v>0</v>
      </c>
    </row>
    <row r="1388" spans="1:12" x14ac:dyDescent="0.25">
      <c r="A1388" t="s">
        <v>1573</v>
      </c>
      <c r="B1388" t="s">
        <v>75</v>
      </c>
      <c r="C1388">
        <v>12</v>
      </c>
      <c r="D1388">
        <v>0</v>
      </c>
      <c r="G1388">
        <v>12</v>
      </c>
      <c r="H1388">
        <v>0</v>
      </c>
      <c r="I1388">
        <f t="shared" si="84"/>
        <v>1</v>
      </c>
      <c r="J1388">
        <f t="shared" si="85"/>
        <v>0</v>
      </c>
      <c r="K1388">
        <f t="shared" si="86"/>
        <v>0</v>
      </c>
      <c r="L1388">
        <f t="shared" si="87"/>
        <v>0</v>
      </c>
    </row>
    <row r="1389" spans="1:12" x14ac:dyDescent="0.25">
      <c r="A1389" t="s">
        <v>1574</v>
      </c>
      <c r="B1389" t="s">
        <v>75</v>
      </c>
      <c r="C1389">
        <v>14</v>
      </c>
      <c r="D1389">
        <v>1</v>
      </c>
      <c r="G1389">
        <v>15</v>
      </c>
      <c r="H1389">
        <v>0</v>
      </c>
      <c r="I1389">
        <f t="shared" si="84"/>
        <v>1</v>
      </c>
      <c r="J1389">
        <f t="shared" si="85"/>
        <v>0</v>
      </c>
      <c r="K1389">
        <f t="shared" si="86"/>
        <v>0</v>
      </c>
      <c r="L1389">
        <f t="shared" si="87"/>
        <v>1</v>
      </c>
    </row>
    <row r="1390" spans="1:12" x14ac:dyDescent="0.25">
      <c r="A1390" t="s">
        <v>1575</v>
      </c>
      <c r="B1390" t="s">
        <v>75</v>
      </c>
      <c r="C1390">
        <v>18</v>
      </c>
      <c r="D1390">
        <v>6</v>
      </c>
      <c r="G1390">
        <v>24</v>
      </c>
      <c r="H1390">
        <v>0</v>
      </c>
      <c r="I1390">
        <f t="shared" si="84"/>
        <v>1</v>
      </c>
      <c r="J1390">
        <f t="shared" si="85"/>
        <v>0</v>
      </c>
      <c r="K1390">
        <f t="shared" si="86"/>
        <v>0</v>
      </c>
      <c r="L1390">
        <f t="shared" si="87"/>
        <v>1</v>
      </c>
    </row>
    <row r="1391" spans="1:12" x14ac:dyDescent="0.25">
      <c r="A1391" t="s">
        <v>1576</v>
      </c>
      <c r="B1391" t="s">
        <v>75</v>
      </c>
      <c r="C1391">
        <v>6</v>
      </c>
      <c r="D1391">
        <v>0</v>
      </c>
      <c r="G1391">
        <v>6</v>
      </c>
      <c r="H1391">
        <v>0</v>
      </c>
      <c r="I1391">
        <f t="shared" si="84"/>
        <v>1</v>
      </c>
      <c r="J1391">
        <f t="shared" si="85"/>
        <v>0</v>
      </c>
      <c r="K1391">
        <f t="shared" si="86"/>
        <v>0</v>
      </c>
      <c r="L1391">
        <f t="shared" si="87"/>
        <v>0</v>
      </c>
    </row>
    <row r="1392" spans="1:12" x14ac:dyDescent="0.25">
      <c r="A1392" t="s">
        <v>1577</v>
      </c>
      <c r="B1392" t="s">
        <v>75</v>
      </c>
      <c r="C1392">
        <v>12</v>
      </c>
      <c r="D1392">
        <v>0</v>
      </c>
      <c r="G1392">
        <v>12</v>
      </c>
      <c r="H1392">
        <v>0</v>
      </c>
      <c r="I1392">
        <f t="shared" si="84"/>
        <v>1</v>
      </c>
      <c r="J1392">
        <f t="shared" si="85"/>
        <v>0</v>
      </c>
      <c r="K1392">
        <f t="shared" si="86"/>
        <v>0</v>
      </c>
      <c r="L1392">
        <f t="shared" si="87"/>
        <v>0</v>
      </c>
    </row>
    <row r="1393" spans="1:12" x14ac:dyDescent="0.25">
      <c r="A1393" t="s">
        <v>1578</v>
      </c>
      <c r="B1393" t="s">
        <v>75</v>
      </c>
      <c r="C1393">
        <v>6</v>
      </c>
      <c r="D1393">
        <v>6</v>
      </c>
      <c r="G1393">
        <v>12</v>
      </c>
      <c r="H1393">
        <v>0</v>
      </c>
      <c r="I1393">
        <f t="shared" si="84"/>
        <v>1</v>
      </c>
      <c r="J1393">
        <f t="shared" si="85"/>
        <v>0</v>
      </c>
      <c r="K1393">
        <f t="shared" si="86"/>
        <v>0</v>
      </c>
      <c r="L1393">
        <f t="shared" si="87"/>
        <v>1</v>
      </c>
    </row>
    <row r="1394" spans="1:12" x14ac:dyDescent="0.25">
      <c r="A1394" t="s">
        <v>1579</v>
      </c>
      <c r="B1394" t="s">
        <v>75</v>
      </c>
      <c r="C1394">
        <v>21</v>
      </c>
      <c r="D1394">
        <v>6.5</v>
      </c>
      <c r="G1394">
        <v>27.5</v>
      </c>
      <c r="H1394">
        <v>0</v>
      </c>
      <c r="I1394">
        <f t="shared" si="84"/>
        <v>1</v>
      </c>
      <c r="J1394">
        <f t="shared" si="85"/>
        <v>0</v>
      </c>
      <c r="K1394">
        <f t="shared" si="86"/>
        <v>0</v>
      </c>
      <c r="L1394">
        <f t="shared" si="87"/>
        <v>1</v>
      </c>
    </row>
    <row r="1395" spans="1:12" x14ac:dyDescent="0.25">
      <c r="A1395" t="s">
        <v>1580</v>
      </c>
      <c r="B1395" t="s">
        <v>75</v>
      </c>
      <c r="C1395">
        <v>6</v>
      </c>
      <c r="D1395">
        <v>12</v>
      </c>
      <c r="G1395">
        <v>18</v>
      </c>
      <c r="H1395">
        <v>0</v>
      </c>
      <c r="I1395">
        <f t="shared" si="84"/>
        <v>1</v>
      </c>
      <c r="J1395">
        <f t="shared" si="85"/>
        <v>0</v>
      </c>
      <c r="K1395">
        <f t="shared" si="86"/>
        <v>0</v>
      </c>
      <c r="L1395">
        <f t="shared" si="87"/>
        <v>1</v>
      </c>
    </row>
    <row r="1396" spans="1:12" x14ac:dyDescent="0.25">
      <c r="A1396" t="s">
        <v>1581</v>
      </c>
      <c r="B1396" t="s">
        <v>75</v>
      </c>
      <c r="C1396">
        <v>12</v>
      </c>
      <c r="D1396">
        <v>12</v>
      </c>
      <c r="G1396">
        <v>24</v>
      </c>
      <c r="H1396">
        <v>0</v>
      </c>
      <c r="I1396">
        <f t="shared" si="84"/>
        <v>1</v>
      </c>
      <c r="J1396">
        <f t="shared" si="85"/>
        <v>0</v>
      </c>
      <c r="K1396">
        <f t="shared" si="86"/>
        <v>0</v>
      </c>
      <c r="L1396">
        <f t="shared" si="87"/>
        <v>1</v>
      </c>
    </row>
    <row r="1397" spans="1:12" x14ac:dyDescent="0.25">
      <c r="A1397" t="s">
        <v>1582</v>
      </c>
      <c r="B1397" t="s">
        <v>75</v>
      </c>
      <c r="C1397">
        <v>6</v>
      </c>
      <c r="D1397">
        <v>6</v>
      </c>
      <c r="G1397">
        <v>12</v>
      </c>
      <c r="H1397">
        <v>0</v>
      </c>
      <c r="I1397">
        <f t="shared" si="84"/>
        <v>1</v>
      </c>
      <c r="J1397">
        <f t="shared" si="85"/>
        <v>0</v>
      </c>
      <c r="K1397">
        <f t="shared" si="86"/>
        <v>0</v>
      </c>
      <c r="L1397">
        <f t="shared" si="87"/>
        <v>1</v>
      </c>
    </row>
    <row r="1398" spans="1:12" x14ac:dyDescent="0.25">
      <c r="A1398" t="s">
        <v>1583</v>
      </c>
      <c r="B1398" t="s">
        <v>75</v>
      </c>
      <c r="C1398">
        <v>12</v>
      </c>
      <c r="D1398">
        <v>16</v>
      </c>
      <c r="G1398">
        <v>28</v>
      </c>
      <c r="H1398">
        <v>0</v>
      </c>
      <c r="I1398">
        <f t="shared" si="84"/>
        <v>1</v>
      </c>
      <c r="J1398">
        <f t="shared" si="85"/>
        <v>0</v>
      </c>
      <c r="K1398">
        <f t="shared" si="86"/>
        <v>0</v>
      </c>
      <c r="L1398">
        <f t="shared" si="87"/>
        <v>1</v>
      </c>
    </row>
    <row r="1399" spans="1:12" x14ac:dyDescent="0.25">
      <c r="A1399" t="s">
        <v>1584</v>
      </c>
      <c r="B1399" t="s">
        <v>75</v>
      </c>
      <c r="C1399">
        <v>3</v>
      </c>
      <c r="D1399">
        <v>9</v>
      </c>
      <c r="G1399">
        <v>12</v>
      </c>
      <c r="H1399">
        <v>0</v>
      </c>
      <c r="I1399">
        <f t="shared" si="84"/>
        <v>1</v>
      </c>
      <c r="J1399">
        <f t="shared" si="85"/>
        <v>0</v>
      </c>
      <c r="K1399">
        <f t="shared" si="86"/>
        <v>0</v>
      </c>
      <c r="L1399">
        <f t="shared" si="87"/>
        <v>1</v>
      </c>
    </row>
    <row r="1400" spans="1:12" x14ac:dyDescent="0.25">
      <c r="A1400" t="s">
        <v>1585</v>
      </c>
      <c r="B1400" t="s">
        <v>75</v>
      </c>
      <c r="C1400">
        <v>7</v>
      </c>
      <c r="D1400">
        <v>3</v>
      </c>
      <c r="G1400">
        <v>10</v>
      </c>
      <c r="H1400">
        <v>0</v>
      </c>
      <c r="I1400">
        <f t="shared" si="84"/>
        <v>1</v>
      </c>
      <c r="J1400">
        <f t="shared" si="85"/>
        <v>0</v>
      </c>
      <c r="K1400">
        <f t="shared" si="86"/>
        <v>0</v>
      </c>
      <c r="L1400">
        <f t="shared" si="87"/>
        <v>1</v>
      </c>
    </row>
    <row r="1401" spans="1:12" x14ac:dyDescent="0.25">
      <c r="A1401" t="s">
        <v>1586</v>
      </c>
      <c r="B1401" t="s">
        <v>75</v>
      </c>
      <c r="C1401">
        <v>1</v>
      </c>
      <c r="D1401">
        <v>4</v>
      </c>
      <c r="G1401">
        <v>5</v>
      </c>
      <c r="H1401">
        <v>0</v>
      </c>
      <c r="I1401">
        <f t="shared" si="84"/>
        <v>1</v>
      </c>
      <c r="J1401">
        <f t="shared" si="85"/>
        <v>0</v>
      </c>
      <c r="K1401">
        <f t="shared" si="86"/>
        <v>0</v>
      </c>
      <c r="L1401">
        <f t="shared" si="87"/>
        <v>1</v>
      </c>
    </row>
    <row r="1402" spans="1:12" x14ac:dyDescent="0.25">
      <c r="A1402" t="s">
        <v>1587</v>
      </c>
      <c r="B1402" t="s">
        <v>75</v>
      </c>
      <c r="C1402">
        <v>18</v>
      </c>
      <c r="D1402">
        <v>0</v>
      </c>
      <c r="G1402">
        <v>18</v>
      </c>
      <c r="H1402">
        <v>0</v>
      </c>
      <c r="I1402">
        <f t="shared" si="84"/>
        <v>1</v>
      </c>
      <c r="J1402">
        <f t="shared" si="85"/>
        <v>0</v>
      </c>
      <c r="K1402">
        <f t="shared" si="86"/>
        <v>0</v>
      </c>
      <c r="L1402">
        <f t="shared" si="87"/>
        <v>0</v>
      </c>
    </row>
    <row r="1403" spans="1:12" x14ac:dyDescent="0.25">
      <c r="A1403" t="s">
        <v>1588</v>
      </c>
      <c r="B1403" t="s">
        <v>75</v>
      </c>
      <c r="C1403">
        <v>12</v>
      </c>
      <c r="D1403">
        <v>0</v>
      </c>
      <c r="G1403">
        <v>12</v>
      </c>
      <c r="H1403">
        <v>0</v>
      </c>
      <c r="I1403">
        <f t="shared" si="84"/>
        <v>1</v>
      </c>
      <c r="J1403">
        <f t="shared" si="85"/>
        <v>0</v>
      </c>
      <c r="K1403">
        <f t="shared" si="86"/>
        <v>0</v>
      </c>
      <c r="L1403">
        <f t="shared" si="87"/>
        <v>0</v>
      </c>
    </row>
    <row r="1404" spans="1:12" x14ac:dyDescent="0.25">
      <c r="A1404" t="s">
        <v>1589</v>
      </c>
      <c r="B1404" t="s">
        <v>75</v>
      </c>
      <c r="C1404">
        <v>5</v>
      </c>
      <c r="D1404">
        <v>8</v>
      </c>
      <c r="G1404">
        <v>13</v>
      </c>
      <c r="H1404">
        <v>0</v>
      </c>
      <c r="I1404">
        <f t="shared" si="84"/>
        <v>1</v>
      </c>
      <c r="J1404">
        <f t="shared" si="85"/>
        <v>0</v>
      </c>
      <c r="K1404">
        <f t="shared" si="86"/>
        <v>0</v>
      </c>
      <c r="L1404">
        <f t="shared" si="87"/>
        <v>1</v>
      </c>
    </row>
    <row r="1405" spans="1:12" x14ac:dyDescent="0.25">
      <c r="A1405" t="s">
        <v>1590</v>
      </c>
      <c r="B1405" t="s">
        <v>75</v>
      </c>
      <c r="C1405">
        <v>12</v>
      </c>
      <c r="D1405">
        <v>0</v>
      </c>
      <c r="G1405">
        <v>12</v>
      </c>
      <c r="H1405">
        <v>0</v>
      </c>
      <c r="I1405">
        <f t="shared" si="84"/>
        <v>1</v>
      </c>
      <c r="J1405">
        <f t="shared" si="85"/>
        <v>0</v>
      </c>
      <c r="K1405">
        <f t="shared" si="86"/>
        <v>0</v>
      </c>
      <c r="L1405">
        <f t="shared" si="87"/>
        <v>0</v>
      </c>
    </row>
    <row r="1406" spans="1:12" x14ac:dyDescent="0.25">
      <c r="A1406" t="s">
        <v>1591</v>
      </c>
      <c r="B1406" t="s">
        <v>75</v>
      </c>
      <c r="C1406">
        <v>10</v>
      </c>
      <c r="D1406">
        <v>10</v>
      </c>
      <c r="G1406">
        <v>20</v>
      </c>
      <c r="H1406">
        <v>0</v>
      </c>
      <c r="I1406">
        <f t="shared" si="84"/>
        <v>1</v>
      </c>
      <c r="J1406">
        <f t="shared" si="85"/>
        <v>0</v>
      </c>
      <c r="K1406">
        <f t="shared" si="86"/>
        <v>0</v>
      </c>
      <c r="L1406">
        <f t="shared" si="87"/>
        <v>1</v>
      </c>
    </row>
    <row r="1407" spans="1:12" x14ac:dyDescent="0.25">
      <c r="A1407" t="s">
        <v>1592</v>
      </c>
      <c r="B1407" t="s">
        <v>75</v>
      </c>
      <c r="C1407">
        <v>52</v>
      </c>
      <c r="D1407">
        <v>52</v>
      </c>
      <c r="G1407">
        <v>104</v>
      </c>
      <c r="H1407">
        <v>0</v>
      </c>
      <c r="I1407">
        <f t="shared" si="84"/>
        <v>1</v>
      </c>
      <c r="J1407">
        <f t="shared" si="85"/>
        <v>0</v>
      </c>
      <c r="K1407">
        <f t="shared" si="86"/>
        <v>0</v>
      </c>
      <c r="L1407">
        <f t="shared" si="87"/>
        <v>1</v>
      </c>
    </row>
    <row r="1408" spans="1:12" x14ac:dyDescent="0.25">
      <c r="A1408" t="s">
        <v>1593</v>
      </c>
      <c r="B1408" t="s">
        <v>75</v>
      </c>
      <c r="C1408">
        <v>8</v>
      </c>
      <c r="D1408">
        <v>0</v>
      </c>
      <c r="G1408">
        <v>8</v>
      </c>
      <c r="H1408">
        <v>0</v>
      </c>
      <c r="I1408">
        <f t="shared" si="84"/>
        <v>1</v>
      </c>
      <c r="J1408">
        <f t="shared" si="85"/>
        <v>0</v>
      </c>
      <c r="K1408">
        <f t="shared" si="86"/>
        <v>0</v>
      </c>
      <c r="L1408">
        <f t="shared" si="87"/>
        <v>0</v>
      </c>
    </row>
    <row r="1409" spans="1:12" x14ac:dyDescent="0.25">
      <c r="A1409" t="s">
        <v>1594</v>
      </c>
      <c r="B1409" t="s">
        <v>75</v>
      </c>
      <c r="C1409">
        <v>8</v>
      </c>
      <c r="D1409">
        <v>0</v>
      </c>
      <c r="G1409">
        <v>8</v>
      </c>
      <c r="H1409">
        <v>0</v>
      </c>
      <c r="I1409">
        <f t="shared" si="84"/>
        <v>1</v>
      </c>
      <c r="J1409">
        <f t="shared" si="85"/>
        <v>0</v>
      </c>
      <c r="K1409">
        <f t="shared" si="86"/>
        <v>0</v>
      </c>
      <c r="L1409">
        <f t="shared" si="87"/>
        <v>0</v>
      </c>
    </row>
    <row r="1410" spans="1:12" x14ac:dyDescent="0.25">
      <c r="A1410" t="s">
        <v>1595</v>
      </c>
      <c r="B1410" t="s">
        <v>75</v>
      </c>
      <c r="C1410">
        <v>2</v>
      </c>
      <c r="D1410">
        <v>2</v>
      </c>
      <c r="G1410">
        <v>4</v>
      </c>
      <c r="H1410">
        <v>0</v>
      </c>
      <c r="I1410">
        <f t="shared" si="84"/>
        <v>1</v>
      </c>
      <c r="J1410">
        <f t="shared" si="85"/>
        <v>0</v>
      </c>
      <c r="K1410">
        <f t="shared" si="86"/>
        <v>0</v>
      </c>
      <c r="L1410">
        <f t="shared" si="87"/>
        <v>1</v>
      </c>
    </row>
    <row r="1411" spans="1:12" x14ac:dyDescent="0.25">
      <c r="A1411" t="s">
        <v>1596</v>
      </c>
      <c r="B1411" t="s">
        <v>75</v>
      </c>
      <c r="C1411">
        <v>6</v>
      </c>
      <c r="D1411">
        <v>0</v>
      </c>
      <c r="G1411">
        <v>6</v>
      </c>
      <c r="H1411">
        <v>0</v>
      </c>
      <c r="I1411">
        <f t="shared" ref="I1411:I1474" si="88">IF(C1411&gt;0, 1, 0)</f>
        <v>1</v>
      </c>
      <c r="J1411">
        <f t="shared" ref="J1411:J1474" si="89">IF(E1411&gt;0, 1,0)</f>
        <v>0</v>
      </c>
      <c r="K1411">
        <f t="shared" ref="K1411:K1474" si="90">IF(F1411&gt;0, 1, 0)</f>
        <v>0</v>
      </c>
      <c r="L1411">
        <f t="shared" ref="L1411:L1474" si="91">IF(D1411&gt;0, 1, 0)</f>
        <v>0</v>
      </c>
    </row>
    <row r="1412" spans="1:12" x14ac:dyDescent="0.25">
      <c r="A1412" t="s">
        <v>1597</v>
      </c>
      <c r="B1412" t="s">
        <v>75</v>
      </c>
      <c r="C1412">
        <v>24</v>
      </c>
      <c r="D1412">
        <v>0</v>
      </c>
      <c r="G1412">
        <v>24</v>
      </c>
      <c r="H1412">
        <v>0</v>
      </c>
      <c r="I1412">
        <f t="shared" si="88"/>
        <v>1</v>
      </c>
      <c r="J1412">
        <f t="shared" si="89"/>
        <v>0</v>
      </c>
      <c r="K1412">
        <f t="shared" si="90"/>
        <v>0</v>
      </c>
      <c r="L1412">
        <f t="shared" si="91"/>
        <v>0</v>
      </c>
    </row>
    <row r="1413" spans="1:12" x14ac:dyDescent="0.25">
      <c r="A1413" t="s">
        <v>1598</v>
      </c>
      <c r="B1413" t="s">
        <v>75</v>
      </c>
      <c r="C1413">
        <v>6</v>
      </c>
      <c r="D1413">
        <v>3</v>
      </c>
      <c r="G1413">
        <v>9</v>
      </c>
      <c r="H1413">
        <v>0</v>
      </c>
      <c r="I1413">
        <f t="shared" si="88"/>
        <v>1</v>
      </c>
      <c r="J1413">
        <f t="shared" si="89"/>
        <v>0</v>
      </c>
      <c r="K1413">
        <f t="shared" si="90"/>
        <v>0</v>
      </c>
      <c r="L1413">
        <f t="shared" si="91"/>
        <v>1</v>
      </c>
    </row>
    <row r="1414" spans="1:12" x14ac:dyDescent="0.25">
      <c r="A1414" t="s">
        <v>1599</v>
      </c>
      <c r="B1414" t="s">
        <v>75</v>
      </c>
      <c r="C1414">
        <v>8</v>
      </c>
      <c r="D1414">
        <v>8</v>
      </c>
      <c r="G1414">
        <v>16</v>
      </c>
      <c r="H1414">
        <v>0</v>
      </c>
      <c r="I1414">
        <f t="shared" si="88"/>
        <v>1</v>
      </c>
      <c r="J1414">
        <f t="shared" si="89"/>
        <v>0</v>
      </c>
      <c r="K1414">
        <f t="shared" si="90"/>
        <v>0</v>
      </c>
      <c r="L1414">
        <f t="shared" si="91"/>
        <v>1</v>
      </c>
    </row>
    <row r="1415" spans="1:12" x14ac:dyDescent="0.25">
      <c r="A1415" t="s">
        <v>1600</v>
      </c>
      <c r="B1415" t="s">
        <v>75</v>
      </c>
      <c r="C1415">
        <v>32</v>
      </c>
      <c r="D1415">
        <v>0</v>
      </c>
      <c r="G1415">
        <v>32</v>
      </c>
      <c r="H1415">
        <v>0</v>
      </c>
      <c r="I1415">
        <f t="shared" si="88"/>
        <v>1</v>
      </c>
      <c r="J1415">
        <f t="shared" si="89"/>
        <v>0</v>
      </c>
      <c r="K1415">
        <f t="shared" si="90"/>
        <v>0</v>
      </c>
      <c r="L1415">
        <f t="shared" si="91"/>
        <v>0</v>
      </c>
    </row>
    <row r="1416" spans="1:12" x14ac:dyDescent="0.25">
      <c r="A1416" t="s">
        <v>1601</v>
      </c>
      <c r="B1416" t="s">
        <v>75</v>
      </c>
      <c r="C1416">
        <v>8</v>
      </c>
      <c r="D1416">
        <v>2</v>
      </c>
      <c r="G1416">
        <v>10</v>
      </c>
      <c r="H1416">
        <v>0</v>
      </c>
      <c r="I1416">
        <f t="shared" si="88"/>
        <v>1</v>
      </c>
      <c r="J1416">
        <f t="shared" si="89"/>
        <v>0</v>
      </c>
      <c r="K1416">
        <f t="shared" si="90"/>
        <v>0</v>
      </c>
      <c r="L1416">
        <f t="shared" si="91"/>
        <v>1</v>
      </c>
    </row>
    <row r="1417" spans="1:12" x14ac:dyDescent="0.25">
      <c r="A1417" t="s">
        <v>1602</v>
      </c>
      <c r="B1417" t="s">
        <v>75</v>
      </c>
      <c r="C1417">
        <v>9</v>
      </c>
      <c r="D1417">
        <v>3</v>
      </c>
      <c r="G1417">
        <v>12</v>
      </c>
      <c r="H1417">
        <v>0</v>
      </c>
      <c r="I1417">
        <f t="shared" si="88"/>
        <v>1</v>
      </c>
      <c r="J1417">
        <f t="shared" si="89"/>
        <v>0</v>
      </c>
      <c r="K1417">
        <f t="shared" si="90"/>
        <v>0</v>
      </c>
      <c r="L1417">
        <f t="shared" si="91"/>
        <v>1</v>
      </c>
    </row>
    <row r="1418" spans="1:12" x14ac:dyDescent="0.25">
      <c r="A1418" t="s">
        <v>1603</v>
      </c>
      <c r="B1418" t="s">
        <v>75</v>
      </c>
      <c r="C1418">
        <v>12</v>
      </c>
      <c r="D1418">
        <v>0</v>
      </c>
      <c r="G1418">
        <v>12</v>
      </c>
      <c r="H1418">
        <v>0</v>
      </c>
      <c r="I1418">
        <f t="shared" si="88"/>
        <v>1</v>
      </c>
      <c r="J1418">
        <f t="shared" si="89"/>
        <v>0</v>
      </c>
      <c r="K1418">
        <f t="shared" si="90"/>
        <v>0</v>
      </c>
      <c r="L1418">
        <f t="shared" si="91"/>
        <v>0</v>
      </c>
    </row>
    <row r="1419" spans="1:12" x14ac:dyDescent="0.25">
      <c r="A1419" t="s">
        <v>1604</v>
      </c>
      <c r="B1419" t="s">
        <v>75</v>
      </c>
      <c r="C1419">
        <v>16</v>
      </c>
      <c r="D1419">
        <v>0</v>
      </c>
      <c r="G1419">
        <v>16</v>
      </c>
      <c r="H1419">
        <v>0</v>
      </c>
      <c r="I1419">
        <f t="shared" si="88"/>
        <v>1</v>
      </c>
      <c r="J1419">
        <f t="shared" si="89"/>
        <v>0</v>
      </c>
      <c r="K1419">
        <f t="shared" si="90"/>
        <v>0</v>
      </c>
      <c r="L1419">
        <f t="shared" si="91"/>
        <v>0</v>
      </c>
    </row>
    <row r="1420" spans="1:12" x14ac:dyDescent="0.25">
      <c r="A1420" t="s">
        <v>1605</v>
      </c>
      <c r="B1420" t="s">
        <v>75</v>
      </c>
      <c r="C1420">
        <v>16</v>
      </c>
      <c r="D1420">
        <v>0</v>
      </c>
      <c r="G1420">
        <v>16</v>
      </c>
      <c r="H1420">
        <v>0</v>
      </c>
      <c r="I1420">
        <f t="shared" si="88"/>
        <v>1</v>
      </c>
      <c r="J1420">
        <f t="shared" si="89"/>
        <v>0</v>
      </c>
      <c r="K1420">
        <f t="shared" si="90"/>
        <v>0</v>
      </c>
      <c r="L1420">
        <f t="shared" si="91"/>
        <v>0</v>
      </c>
    </row>
    <row r="1421" spans="1:12" x14ac:dyDescent="0.25">
      <c r="A1421" t="s">
        <v>1606</v>
      </c>
      <c r="B1421" t="s">
        <v>75</v>
      </c>
      <c r="C1421">
        <v>12</v>
      </c>
      <c r="D1421">
        <v>0</v>
      </c>
      <c r="G1421">
        <v>12</v>
      </c>
      <c r="H1421">
        <v>0</v>
      </c>
      <c r="I1421">
        <f t="shared" si="88"/>
        <v>1</v>
      </c>
      <c r="J1421">
        <f t="shared" si="89"/>
        <v>0</v>
      </c>
      <c r="K1421">
        <f t="shared" si="90"/>
        <v>0</v>
      </c>
      <c r="L1421">
        <f t="shared" si="91"/>
        <v>0</v>
      </c>
    </row>
    <row r="1422" spans="1:12" x14ac:dyDescent="0.25">
      <c r="A1422" t="s">
        <v>1607</v>
      </c>
      <c r="B1422" t="s">
        <v>75</v>
      </c>
      <c r="C1422">
        <v>12</v>
      </c>
      <c r="D1422">
        <v>0</v>
      </c>
      <c r="G1422">
        <v>12</v>
      </c>
      <c r="H1422">
        <v>0</v>
      </c>
      <c r="I1422">
        <f t="shared" si="88"/>
        <v>1</v>
      </c>
      <c r="J1422">
        <f t="shared" si="89"/>
        <v>0</v>
      </c>
      <c r="K1422">
        <f t="shared" si="90"/>
        <v>0</v>
      </c>
      <c r="L1422">
        <f t="shared" si="91"/>
        <v>0</v>
      </c>
    </row>
    <row r="1423" spans="1:12" x14ac:dyDescent="0.25">
      <c r="A1423" t="s">
        <v>1608</v>
      </c>
      <c r="B1423" t="s">
        <v>75</v>
      </c>
      <c r="C1423">
        <v>16</v>
      </c>
      <c r="D1423">
        <v>8</v>
      </c>
      <c r="G1423">
        <v>24</v>
      </c>
      <c r="H1423">
        <v>0</v>
      </c>
      <c r="I1423">
        <f t="shared" si="88"/>
        <v>1</v>
      </c>
      <c r="J1423">
        <f t="shared" si="89"/>
        <v>0</v>
      </c>
      <c r="K1423">
        <f t="shared" si="90"/>
        <v>0</v>
      </c>
      <c r="L1423">
        <f t="shared" si="91"/>
        <v>1</v>
      </c>
    </row>
    <row r="1424" spans="1:12" x14ac:dyDescent="0.25">
      <c r="A1424" t="s">
        <v>1609</v>
      </c>
      <c r="B1424" t="s">
        <v>75</v>
      </c>
      <c r="C1424">
        <v>6</v>
      </c>
      <c r="D1424">
        <v>0</v>
      </c>
      <c r="G1424">
        <v>6</v>
      </c>
      <c r="H1424">
        <v>0</v>
      </c>
      <c r="I1424">
        <f t="shared" si="88"/>
        <v>1</v>
      </c>
      <c r="J1424">
        <f t="shared" si="89"/>
        <v>0</v>
      </c>
      <c r="K1424">
        <f t="shared" si="90"/>
        <v>0</v>
      </c>
      <c r="L1424">
        <f t="shared" si="91"/>
        <v>0</v>
      </c>
    </row>
    <row r="1425" spans="1:12" x14ac:dyDescent="0.25">
      <c r="A1425" t="s">
        <v>1610</v>
      </c>
      <c r="B1425" t="s">
        <v>75</v>
      </c>
      <c r="C1425">
        <v>14</v>
      </c>
      <c r="D1425">
        <v>30</v>
      </c>
      <c r="G1425">
        <v>44</v>
      </c>
      <c r="H1425">
        <v>0</v>
      </c>
      <c r="I1425">
        <f t="shared" si="88"/>
        <v>1</v>
      </c>
      <c r="J1425">
        <f t="shared" si="89"/>
        <v>0</v>
      </c>
      <c r="K1425">
        <f t="shared" si="90"/>
        <v>0</v>
      </c>
      <c r="L1425">
        <f t="shared" si="91"/>
        <v>1</v>
      </c>
    </row>
    <row r="1426" spans="1:12" x14ac:dyDescent="0.25">
      <c r="A1426" t="s">
        <v>1611</v>
      </c>
      <c r="B1426" t="s">
        <v>75</v>
      </c>
      <c r="C1426">
        <v>16</v>
      </c>
      <c r="D1426">
        <v>0</v>
      </c>
      <c r="G1426">
        <v>16</v>
      </c>
      <c r="H1426">
        <v>0</v>
      </c>
      <c r="I1426">
        <f t="shared" si="88"/>
        <v>1</v>
      </c>
      <c r="J1426">
        <f t="shared" si="89"/>
        <v>0</v>
      </c>
      <c r="K1426">
        <f t="shared" si="90"/>
        <v>0</v>
      </c>
      <c r="L1426">
        <f t="shared" si="91"/>
        <v>0</v>
      </c>
    </row>
    <row r="1427" spans="1:12" x14ac:dyDescent="0.25">
      <c r="A1427" t="s">
        <v>1612</v>
      </c>
      <c r="B1427" t="s">
        <v>75</v>
      </c>
      <c r="C1427">
        <v>16</v>
      </c>
      <c r="D1427">
        <v>0</v>
      </c>
      <c r="G1427">
        <v>16</v>
      </c>
      <c r="H1427">
        <v>0</v>
      </c>
      <c r="I1427">
        <f t="shared" si="88"/>
        <v>1</v>
      </c>
      <c r="J1427">
        <f t="shared" si="89"/>
        <v>0</v>
      </c>
      <c r="K1427">
        <f t="shared" si="90"/>
        <v>0</v>
      </c>
      <c r="L1427">
        <f t="shared" si="91"/>
        <v>0</v>
      </c>
    </row>
    <row r="1428" spans="1:12" x14ac:dyDescent="0.25">
      <c r="A1428" t="s">
        <v>1613</v>
      </c>
      <c r="B1428" t="s">
        <v>75</v>
      </c>
      <c r="C1428">
        <v>12</v>
      </c>
      <c r="D1428">
        <v>0</v>
      </c>
      <c r="G1428">
        <v>12</v>
      </c>
      <c r="H1428">
        <v>0</v>
      </c>
      <c r="I1428">
        <f t="shared" si="88"/>
        <v>1</v>
      </c>
      <c r="J1428">
        <f t="shared" si="89"/>
        <v>0</v>
      </c>
      <c r="K1428">
        <f t="shared" si="90"/>
        <v>0</v>
      </c>
      <c r="L1428">
        <f t="shared" si="91"/>
        <v>0</v>
      </c>
    </row>
    <row r="1429" spans="1:12" x14ac:dyDescent="0.25">
      <c r="A1429" t="s">
        <v>1614</v>
      </c>
      <c r="B1429" t="s">
        <v>75</v>
      </c>
      <c r="C1429">
        <v>3</v>
      </c>
      <c r="D1429">
        <v>9</v>
      </c>
      <c r="G1429">
        <v>12</v>
      </c>
      <c r="H1429">
        <v>0</v>
      </c>
      <c r="I1429">
        <f t="shared" si="88"/>
        <v>1</v>
      </c>
      <c r="J1429">
        <f t="shared" si="89"/>
        <v>0</v>
      </c>
      <c r="K1429">
        <f t="shared" si="90"/>
        <v>0</v>
      </c>
      <c r="L1429">
        <f t="shared" si="91"/>
        <v>1</v>
      </c>
    </row>
    <row r="1430" spans="1:12" x14ac:dyDescent="0.25">
      <c r="A1430" t="s">
        <v>1615</v>
      </c>
      <c r="B1430" t="s">
        <v>75</v>
      </c>
      <c r="C1430">
        <v>6</v>
      </c>
      <c r="D1430">
        <v>46</v>
      </c>
      <c r="G1430">
        <v>52</v>
      </c>
      <c r="H1430">
        <v>0</v>
      </c>
      <c r="I1430">
        <f t="shared" si="88"/>
        <v>1</v>
      </c>
      <c r="J1430">
        <f t="shared" si="89"/>
        <v>0</v>
      </c>
      <c r="K1430">
        <f t="shared" si="90"/>
        <v>0</v>
      </c>
      <c r="L1430">
        <f t="shared" si="91"/>
        <v>1</v>
      </c>
    </row>
    <row r="1431" spans="1:12" x14ac:dyDescent="0.25">
      <c r="A1431" t="s">
        <v>1616</v>
      </c>
      <c r="B1431" t="s">
        <v>75</v>
      </c>
      <c r="C1431">
        <v>14</v>
      </c>
      <c r="D1431">
        <v>0</v>
      </c>
      <c r="G1431">
        <v>14</v>
      </c>
      <c r="H1431">
        <v>0</v>
      </c>
      <c r="I1431">
        <f t="shared" si="88"/>
        <v>1</v>
      </c>
      <c r="J1431">
        <f t="shared" si="89"/>
        <v>0</v>
      </c>
      <c r="K1431">
        <f t="shared" si="90"/>
        <v>0</v>
      </c>
      <c r="L1431">
        <f t="shared" si="91"/>
        <v>0</v>
      </c>
    </row>
    <row r="1432" spans="1:12" x14ac:dyDescent="0.25">
      <c r="A1432" t="s">
        <v>1617</v>
      </c>
      <c r="B1432" t="s">
        <v>75</v>
      </c>
      <c r="C1432">
        <v>12</v>
      </c>
      <c r="D1432">
        <v>8</v>
      </c>
      <c r="G1432">
        <v>20</v>
      </c>
      <c r="H1432">
        <v>0</v>
      </c>
      <c r="I1432">
        <f t="shared" si="88"/>
        <v>1</v>
      </c>
      <c r="J1432">
        <f t="shared" si="89"/>
        <v>0</v>
      </c>
      <c r="K1432">
        <f t="shared" si="90"/>
        <v>0</v>
      </c>
      <c r="L1432">
        <f t="shared" si="91"/>
        <v>1</v>
      </c>
    </row>
    <row r="1433" spans="1:12" x14ac:dyDescent="0.25">
      <c r="A1433" t="s">
        <v>1618</v>
      </c>
      <c r="B1433" t="s">
        <v>75</v>
      </c>
      <c r="C1433">
        <v>52</v>
      </c>
      <c r="D1433">
        <v>0</v>
      </c>
      <c r="G1433">
        <v>52</v>
      </c>
      <c r="H1433">
        <v>0</v>
      </c>
      <c r="I1433">
        <f t="shared" si="88"/>
        <v>1</v>
      </c>
      <c r="J1433">
        <f t="shared" si="89"/>
        <v>0</v>
      </c>
      <c r="K1433">
        <f t="shared" si="90"/>
        <v>0</v>
      </c>
      <c r="L1433">
        <f t="shared" si="91"/>
        <v>0</v>
      </c>
    </row>
    <row r="1434" spans="1:12" x14ac:dyDescent="0.25">
      <c r="A1434" t="s">
        <v>1619</v>
      </c>
      <c r="B1434" t="s">
        <v>75</v>
      </c>
      <c r="C1434">
        <v>4</v>
      </c>
      <c r="D1434">
        <v>0</v>
      </c>
      <c r="G1434">
        <v>4</v>
      </c>
      <c r="H1434">
        <v>0</v>
      </c>
      <c r="I1434">
        <f t="shared" si="88"/>
        <v>1</v>
      </c>
      <c r="J1434">
        <f t="shared" si="89"/>
        <v>0</v>
      </c>
      <c r="K1434">
        <f t="shared" si="90"/>
        <v>0</v>
      </c>
      <c r="L1434">
        <f t="shared" si="91"/>
        <v>0</v>
      </c>
    </row>
    <row r="1435" spans="1:12" x14ac:dyDescent="0.25">
      <c r="A1435" t="s">
        <v>1620</v>
      </c>
      <c r="B1435" t="s">
        <v>75</v>
      </c>
      <c r="C1435">
        <v>1</v>
      </c>
      <c r="D1435">
        <v>12</v>
      </c>
      <c r="G1435">
        <v>13</v>
      </c>
      <c r="H1435">
        <v>0</v>
      </c>
      <c r="I1435">
        <f t="shared" si="88"/>
        <v>1</v>
      </c>
      <c r="J1435">
        <f t="shared" si="89"/>
        <v>0</v>
      </c>
      <c r="K1435">
        <f t="shared" si="90"/>
        <v>0</v>
      </c>
      <c r="L1435">
        <f t="shared" si="91"/>
        <v>1</v>
      </c>
    </row>
    <row r="1436" spans="1:12" x14ac:dyDescent="0.25">
      <c r="A1436" t="s">
        <v>1621</v>
      </c>
      <c r="B1436" t="s">
        <v>75</v>
      </c>
      <c r="C1436">
        <v>12</v>
      </c>
      <c r="D1436">
        <v>3</v>
      </c>
      <c r="G1436">
        <v>15</v>
      </c>
      <c r="H1436">
        <v>0</v>
      </c>
      <c r="I1436">
        <f t="shared" si="88"/>
        <v>1</v>
      </c>
      <c r="J1436">
        <f t="shared" si="89"/>
        <v>0</v>
      </c>
      <c r="K1436">
        <f t="shared" si="90"/>
        <v>0</v>
      </c>
      <c r="L1436">
        <f t="shared" si="91"/>
        <v>1</v>
      </c>
    </row>
    <row r="1437" spans="1:12" x14ac:dyDescent="0.25">
      <c r="A1437" t="s">
        <v>1622</v>
      </c>
      <c r="B1437" t="s">
        <v>75</v>
      </c>
      <c r="C1437">
        <v>6</v>
      </c>
      <c r="D1437">
        <v>6</v>
      </c>
      <c r="G1437">
        <v>12</v>
      </c>
      <c r="H1437">
        <v>0</v>
      </c>
      <c r="I1437">
        <f t="shared" si="88"/>
        <v>1</v>
      </c>
      <c r="J1437">
        <f t="shared" si="89"/>
        <v>0</v>
      </c>
      <c r="K1437">
        <f t="shared" si="90"/>
        <v>0</v>
      </c>
      <c r="L1437">
        <f t="shared" si="91"/>
        <v>1</v>
      </c>
    </row>
    <row r="1438" spans="1:12" x14ac:dyDescent="0.25">
      <c r="A1438" t="s">
        <v>1623</v>
      </c>
      <c r="B1438" t="s">
        <v>75</v>
      </c>
      <c r="C1438">
        <v>8</v>
      </c>
      <c r="D1438">
        <v>4</v>
      </c>
      <c r="G1438">
        <v>12</v>
      </c>
      <c r="H1438">
        <v>0</v>
      </c>
      <c r="I1438">
        <f t="shared" si="88"/>
        <v>1</v>
      </c>
      <c r="J1438">
        <f t="shared" si="89"/>
        <v>0</v>
      </c>
      <c r="K1438">
        <f t="shared" si="90"/>
        <v>0</v>
      </c>
      <c r="L1438">
        <f t="shared" si="91"/>
        <v>1</v>
      </c>
    </row>
    <row r="1439" spans="1:12" x14ac:dyDescent="0.25">
      <c r="A1439" t="s">
        <v>1624</v>
      </c>
      <c r="B1439" t="s">
        <v>75</v>
      </c>
      <c r="C1439">
        <v>8</v>
      </c>
      <c r="D1439">
        <v>4</v>
      </c>
      <c r="G1439">
        <v>12</v>
      </c>
      <c r="H1439">
        <v>0</v>
      </c>
      <c r="I1439">
        <f t="shared" si="88"/>
        <v>1</v>
      </c>
      <c r="J1439">
        <f t="shared" si="89"/>
        <v>0</v>
      </c>
      <c r="K1439">
        <f t="shared" si="90"/>
        <v>0</v>
      </c>
      <c r="L1439">
        <f t="shared" si="91"/>
        <v>1</v>
      </c>
    </row>
    <row r="1440" spans="1:12" x14ac:dyDescent="0.25">
      <c r="A1440" t="s">
        <v>1625</v>
      </c>
      <c r="B1440" t="s">
        <v>75</v>
      </c>
      <c r="C1440">
        <v>2</v>
      </c>
      <c r="D1440">
        <v>10</v>
      </c>
      <c r="G1440">
        <v>12</v>
      </c>
      <c r="H1440">
        <v>0</v>
      </c>
      <c r="I1440">
        <f t="shared" si="88"/>
        <v>1</v>
      </c>
      <c r="J1440">
        <f t="shared" si="89"/>
        <v>0</v>
      </c>
      <c r="K1440">
        <f t="shared" si="90"/>
        <v>0</v>
      </c>
      <c r="L1440">
        <f t="shared" si="91"/>
        <v>1</v>
      </c>
    </row>
    <row r="1441" spans="1:12" x14ac:dyDescent="0.25">
      <c r="A1441" t="s">
        <v>1626</v>
      </c>
      <c r="B1441" t="s">
        <v>75</v>
      </c>
      <c r="C1441">
        <v>16</v>
      </c>
      <c r="D1441">
        <v>0</v>
      </c>
      <c r="G1441">
        <v>16</v>
      </c>
      <c r="H1441">
        <v>0</v>
      </c>
      <c r="I1441">
        <f t="shared" si="88"/>
        <v>1</v>
      </c>
      <c r="J1441">
        <f t="shared" si="89"/>
        <v>0</v>
      </c>
      <c r="K1441">
        <f t="shared" si="90"/>
        <v>0</v>
      </c>
      <c r="L1441">
        <f t="shared" si="91"/>
        <v>0</v>
      </c>
    </row>
    <row r="1442" spans="1:12" x14ac:dyDescent="0.25">
      <c r="A1442" t="s">
        <v>1627</v>
      </c>
      <c r="B1442" t="s">
        <v>75</v>
      </c>
      <c r="C1442">
        <v>10</v>
      </c>
      <c r="D1442">
        <v>2</v>
      </c>
      <c r="G1442">
        <v>12</v>
      </c>
      <c r="H1442">
        <v>0</v>
      </c>
      <c r="I1442">
        <f t="shared" si="88"/>
        <v>1</v>
      </c>
      <c r="J1442">
        <f t="shared" si="89"/>
        <v>0</v>
      </c>
      <c r="K1442">
        <f t="shared" si="90"/>
        <v>0</v>
      </c>
      <c r="L1442">
        <f t="shared" si="91"/>
        <v>1</v>
      </c>
    </row>
    <row r="1443" spans="1:12" x14ac:dyDescent="0.25">
      <c r="A1443" t="s">
        <v>1628</v>
      </c>
      <c r="B1443" t="s">
        <v>75</v>
      </c>
      <c r="C1443">
        <v>12</v>
      </c>
      <c r="D1443">
        <v>0</v>
      </c>
      <c r="G1443">
        <v>12</v>
      </c>
      <c r="H1443">
        <v>0</v>
      </c>
      <c r="I1443">
        <f t="shared" si="88"/>
        <v>1</v>
      </c>
      <c r="J1443">
        <f t="shared" si="89"/>
        <v>0</v>
      </c>
      <c r="K1443">
        <f t="shared" si="90"/>
        <v>0</v>
      </c>
      <c r="L1443">
        <f t="shared" si="91"/>
        <v>0</v>
      </c>
    </row>
    <row r="1444" spans="1:12" x14ac:dyDescent="0.25">
      <c r="A1444" t="s">
        <v>1629</v>
      </c>
      <c r="B1444" t="s">
        <v>75</v>
      </c>
      <c r="C1444">
        <v>12</v>
      </c>
      <c r="D1444">
        <v>2</v>
      </c>
      <c r="G1444">
        <v>14</v>
      </c>
      <c r="H1444">
        <v>0</v>
      </c>
      <c r="I1444">
        <f t="shared" si="88"/>
        <v>1</v>
      </c>
      <c r="J1444">
        <f t="shared" si="89"/>
        <v>0</v>
      </c>
      <c r="K1444">
        <f t="shared" si="90"/>
        <v>0</v>
      </c>
      <c r="L1444">
        <f t="shared" si="91"/>
        <v>1</v>
      </c>
    </row>
    <row r="1445" spans="1:12" x14ac:dyDescent="0.25">
      <c r="A1445" t="s">
        <v>1630</v>
      </c>
      <c r="B1445" t="s">
        <v>75</v>
      </c>
      <c r="C1445">
        <v>12</v>
      </c>
      <c r="D1445">
        <v>3</v>
      </c>
      <c r="G1445">
        <v>15</v>
      </c>
      <c r="H1445">
        <v>0</v>
      </c>
      <c r="I1445">
        <f t="shared" si="88"/>
        <v>1</v>
      </c>
      <c r="J1445">
        <f t="shared" si="89"/>
        <v>0</v>
      </c>
      <c r="K1445">
        <f t="shared" si="90"/>
        <v>0</v>
      </c>
      <c r="L1445">
        <f t="shared" si="91"/>
        <v>1</v>
      </c>
    </row>
    <row r="1446" spans="1:12" x14ac:dyDescent="0.25">
      <c r="A1446" t="s">
        <v>1631</v>
      </c>
      <c r="B1446" t="s">
        <v>75</v>
      </c>
      <c r="C1446">
        <v>17</v>
      </c>
      <c r="D1446">
        <v>6</v>
      </c>
      <c r="G1446">
        <v>23</v>
      </c>
      <c r="H1446">
        <v>0</v>
      </c>
      <c r="I1446">
        <f t="shared" si="88"/>
        <v>1</v>
      </c>
      <c r="J1446">
        <f t="shared" si="89"/>
        <v>0</v>
      </c>
      <c r="K1446">
        <f t="shared" si="90"/>
        <v>0</v>
      </c>
      <c r="L1446">
        <f t="shared" si="91"/>
        <v>1</v>
      </c>
    </row>
    <row r="1447" spans="1:12" x14ac:dyDescent="0.25">
      <c r="A1447" t="s">
        <v>1632</v>
      </c>
      <c r="B1447" t="s">
        <v>75</v>
      </c>
      <c r="C1447">
        <v>12</v>
      </c>
      <c r="D1447">
        <v>16</v>
      </c>
      <c r="G1447">
        <v>28</v>
      </c>
      <c r="H1447">
        <v>0</v>
      </c>
      <c r="I1447">
        <f t="shared" si="88"/>
        <v>1</v>
      </c>
      <c r="J1447">
        <f t="shared" si="89"/>
        <v>0</v>
      </c>
      <c r="K1447">
        <f t="shared" si="90"/>
        <v>0</v>
      </c>
      <c r="L1447">
        <f t="shared" si="91"/>
        <v>1</v>
      </c>
    </row>
    <row r="1448" spans="1:12" x14ac:dyDescent="0.25">
      <c r="A1448" t="s">
        <v>1633</v>
      </c>
      <c r="B1448" t="s">
        <v>75</v>
      </c>
      <c r="C1448">
        <v>4</v>
      </c>
      <c r="D1448">
        <v>8</v>
      </c>
      <c r="G1448">
        <v>12</v>
      </c>
      <c r="H1448">
        <v>0</v>
      </c>
      <c r="I1448">
        <f t="shared" si="88"/>
        <v>1</v>
      </c>
      <c r="J1448">
        <f t="shared" si="89"/>
        <v>0</v>
      </c>
      <c r="K1448">
        <f t="shared" si="90"/>
        <v>0</v>
      </c>
      <c r="L1448">
        <f t="shared" si="91"/>
        <v>1</v>
      </c>
    </row>
    <row r="1449" spans="1:12" x14ac:dyDescent="0.25">
      <c r="A1449" t="s">
        <v>1634</v>
      </c>
      <c r="B1449" t="s">
        <v>75</v>
      </c>
      <c r="C1449">
        <v>20</v>
      </c>
      <c r="D1449">
        <v>0</v>
      </c>
      <c r="G1449">
        <v>20</v>
      </c>
      <c r="H1449">
        <v>0</v>
      </c>
      <c r="I1449">
        <f t="shared" si="88"/>
        <v>1</v>
      </c>
      <c r="J1449">
        <f t="shared" si="89"/>
        <v>0</v>
      </c>
      <c r="K1449">
        <f t="shared" si="90"/>
        <v>0</v>
      </c>
      <c r="L1449">
        <f t="shared" si="91"/>
        <v>0</v>
      </c>
    </row>
    <row r="1450" spans="1:12" x14ac:dyDescent="0.25">
      <c r="A1450" t="s">
        <v>1635</v>
      </c>
      <c r="B1450" t="s">
        <v>75</v>
      </c>
      <c r="C1450">
        <v>16</v>
      </c>
      <c r="D1450">
        <v>0</v>
      </c>
      <c r="G1450">
        <v>16</v>
      </c>
      <c r="H1450">
        <v>0</v>
      </c>
      <c r="I1450">
        <f t="shared" si="88"/>
        <v>1</v>
      </c>
      <c r="J1450">
        <f t="shared" si="89"/>
        <v>0</v>
      </c>
      <c r="K1450">
        <f t="shared" si="90"/>
        <v>0</v>
      </c>
      <c r="L1450">
        <f t="shared" si="91"/>
        <v>0</v>
      </c>
    </row>
    <row r="1451" spans="1:12" x14ac:dyDescent="0.25">
      <c r="A1451" t="s">
        <v>1636</v>
      </c>
      <c r="B1451" t="s">
        <v>75</v>
      </c>
      <c r="C1451">
        <v>6</v>
      </c>
      <c r="D1451">
        <v>0</v>
      </c>
      <c r="G1451">
        <v>6</v>
      </c>
      <c r="H1451">
        <v>0</v>
      </c>
      <c r="I1451">
        <f t="shared" si="88"/>
        <v>1</v>
      </c>
      <c r="J1451">
        <f t="shared" si="89"/>
        <v>0</v>
      </c>
      <c r="K1451">
        <f t="shared" si="90"/>
        <v>0</v>
      </c>
      <c r="L1451">
        <f t="shared" si="91"/>
        <v>0</v>
      </c>
    </row>
    <row r="1452" spans="1:12" x14ac:dyDescent="0.25">
      <c r="A1452" t="s">
        <v>1637</v>
      </c>
      <c r="B1452" t="s">
        <v>75</v>
      </c>
      <c r="C1452">
        <v>16</v>
      </c>
      <c r="D1452">
        <v>47</v>
      </c>
      <c r="G1452">
        <v>63</v>
      </c>
      <c r="H1452">
        <v>0</v>
      </c>
      <c r="I1452">
        <f t="shared" si="88"/>
        <v>1</v>
      </c>
      <c r="J1452">
        <f t="shared" si="89"/>
        <v>0</v>
      </c>
      <c r="K1452">
        <f t="shared" si="90"/>
        <v>0</v>
      </c>
      <c r="L1452">
        <f t="shared" si="91"/>
        <v>1</v>
      </c>
    </row>
    <row r="1453" spans="1:12" x14ac:dyDescent="0.25">
      <c r="A1453" t="s">
        <v>1638</v>
      </c>
      <c r="B1453" t="s">
        <v>75</v>
      </c>
      <c r="C1453">
        <v>12</v>
      </c>
      <c r="D1453">
        <v>6</v>
      </c>
      <c r="G1453">
        <v>18</v>
      </c>
      <c r="H1453">
        <v>0</v>
      </c>
      <c r="I1453">
        <f t="shared" si="88"/>
        <v>1</v>
      </c>
      <c r="J1453">
        <f t="shared" si="89"/>
        <v>0</v>
      </c>
      <c r="K1453">
        <f t="shared" si="90"/>
        <v>0</v>
      </c>
      <c r="L1453">
        <f t="shared" si="91"/>
        <v>1</v>
      </c>
    </row>
    <row r="1454" spans="1:12" x14ac:dyDescent="0.25">
      <c r="A1454" t="s">
        <v>1639</v>
      </c>
      <c r="B1454" t="s">
        <v>75</v>
      </c>
      <c r="C1454">
        <v>6</v>
      </c>
      <c r="D1454">
        <v>6</v>
      </c>
      <c r="G1454">
        <v>12</v>
      </c>
      <c r="H1454">
        <v>0</v>
      </c>
      <c r="I1454">
        <f t="shared" si="88"/>
        <v>1</v>
      </c>
      <c r="J1454">
        <f t="shared" si="89"/>
        <v>0</v>
      </c>
      <c r="K1454">
        <f t="shared" si="90"/>
        <v>0</v>
      </c>
      <c r="L1454">
        <f t="shared" si="91"/>
        <v>1</v>
      </c>
    </row>
    <row r="1455" spans="1:12" x14ac:dyDescent="0.25">
      <c r="A1455" t="s">
        <v>1640</v>
      </c>
      <c r="B1455" t="s">
        <v>75</v>
      </c>
      <c r="C1455">
        <v>2</v>
      </c>
      <c r="D1455">
        <v>12</v>
      </c>
      <c r="G1455">
        <v>14</v>
      </c>
      <c r="H1455">
        <v>0</v>
      </c>
      <c r="I1455">
        <f t="shared" si="88"/>
        <v>1</v>
      </c>
      <c r="J1455">
        <f t="shared" si="89"/>
        <v>0</v>
      </c>
      <c r="K1455">
        <f t="shared" si="90"/>
        <v>0</v>
      </c>
      <c r="L1455">
        <f t="shared" si="91"/>
        <v>1</v>
      </c>
    </row>
    <row r="1456" spans="1:12" x14ac:dyDescent="0.25">
      <c r="A1456" t="s">
        <v>1641</v>
      </c>
      <c r="B1456" t="s">
        <v>75</v>
      </c>
      <c r="C1456">
        <v>17</v>
      </c>
      <c r="D1456">
        <v>0</v>
      </c>
      <c r="G1456">
        <v>17</v>
      </c>
      <c r="H1456">
        <v>0</v>
      </c>
      <c r="I1456">
        <f t="shared" si="88"/>
        <v>1</v>
      </c>
      <c r="J1456">
        <f t="shared" si="89"/>
        <v>0</v>
      </c>
      <c r="K1456">
        <f t="shared" si="90"/>
        <v>0</v>
      </c>
      <c r="L1456">
        <f t="shared" si="91"/>
        <v>0</v>
      </c>
    </row>
    <row r="1457" spans="1:12" x14ac:dyDescent="0.25">
      <c r="A1457" t="s">
        <v>1642</v>
      </c>
      <c r="B1457" t="s">
        <v>75</v>
      </c>
      <c r="C1457">
        <v>12</v>
      </c>
      <c r="D1457">
        <v>8</v>
      </c>
      <c r="G1457">
        <v>20</v>
      </c>
      <c r="H1457">
        <v>0</v>
      </c>
      <c r="I1457">
        <f t="shared" si="88"/>
        <v>1</v>
      </c>
      <c r="J1457">
        <f t="shared" si="89"/>
        <v>0</v>
      </c>
      <c r="K1457">
        <f t="shared" si="90"/>
        <v>0</v>
      </c>
      <c r="L1457">
        <f t="shared" si="91"/>
        <v>1</v>
      </c>
    </row>
    <row r="1458" spans="1:12" x14ac:dyDescent="0.25">
      <c r="A1458" t="s">
        <v>1643</v>
      </c>
      <c r="B1458" t="s">
        <v>75</v>
      </c>
      <c r="C1458">
        <v>30</v>
      </c>
      <c r="D1458">
        <v>38</v>
      </c>
      <c r="G1458">
        <v>68</v>
      </c>
      <c r="H1458">
        <v>0</v>
      </c>
      <c r="I1458">
        <f t="shared" si="88"/>
        <v>1</v>
      </c>
      <c r="J1458">
        <f t="shared" si="89"/>
        <v>0</v>
      </c>
      <c r="K1458">
        <f t="shared" si="90"/>
        <v>0</v>
      </c>
      <c r="L1458">
        <f t="shared" si="91"/>
        <v>1</v>
      </c>
    </row>
    <row r="1459" spans="1:12" x14ac:dyDescent="0.25">
      <c r="A1459" t="s">
        <v>1644</v>
      </c>
      <c r="B1459" t="s">
        <v>75</v>
      </c>
      <c r="C1459">
        <v>20</v>
      </c>
      <c r="D1459">
        <v>40</v>
      </c>
      <c r="G1459">
        <v>60</v>
      </c>
      <c r="H1459">
        <v>0</v>
      </c>
      <c r="I1459">
        <f t="shared" si="88"/>
        <v>1</v>
      </c>
      <c r="J1459">
        <f t="shared" si="89"/>
        <v>0</v>
      </c>
      <c r="K1459">
        <f t="shared" si="90"/>
        <v>0</v>
      </c>
      <c r="L1459">
        <f t="shared" si="91"/>
        <v>1</v>
      </c>
    </row>
    <row r="1460" spans="1:12" x14ac:dyDescent="0.25">
      <c r="A1460" t="s">
        <v>1645</v>
      </c>
      <c r="B1460" t="s">
        <v>75</v>
      </c>
      <c r="C1460">
        <v>2</v>
      </c>
      <c r="D1460">
        <v>0</v>
      </c>
      <c r="G1460">
        <v>2</v>
      </c>
      <c r="H1460">
        <v>0</v>
      </c>
      <c r="I1460">
        <f t="shared" si="88"/>
        <v>1</v>
      </c>
      <c r="J1460">
        <f t="shared" si="89"/>
        <v>0</v>
      </c>
      <c r="K1460">
        <f t="shared" si="90"/>
        <v>0</v>
      </c>
      <c r="L1460">
        <f t="shared" si="91"/>
        <v>0</v>
      </c>
    </row>
    <row r="1461" spans="1:12" x14ac:dyDescent="0.25">
      <c r="A1461" t="s">
        <v>1646</v>
      </c>
      <c r="B1461" t="s">
        <v>75</v>
      </c>
      <c r="C1461">
        <v>12</v>
      </c>
      <c r="D1461">
        <v>4</v>
      </c>
      <c r="G1461">
        <v>16</v>
      </c>
      <c r="H1461">
        <v>0</v>
      </c>
      <c r="I1461">
        <f t="shared" si="88"/>
        <v>1</v>
      </c>
      <c r="J1461">
        <f t="shared" si="89"/>
        <v>0</v>
      </c>
      <c r="K1461">
        <f t="shared" si="90"/>
        <v>0</v>
      </c>
      <c r="L1461">
        <f t="shared" si="91"/>
        <v>1</v>
      </c>
    </row>
    <row r="1462" spans="1:12" x14ac:dyDescent="0.25">
      <c r="A1462" t="s">
        <v>1647</v>
      </c>
      <c r="B1462" t="s">
        <v>75</v>
      </c>
      <c r="C1462">
        <v>14</v>
      </c>
      <c r="D1462">
        <v>8</v>
      </c>
      <c r="G1462">
        <v>22</v>
      </c>
      <c r="H1462">
        <v>0</v>
      </c>
      <c r="I1462">
        <f t="shared" si="88"/>
        <v>1</v>
      </c>
      <c r="J1462">
        <f t="shared" si="89"/>
        <v>0</v>
      </c>
      <c r="K1462">
        <f t="shared" si="90"/>
        <v>0</v>
      </c>
      <c r="L1462">
        <f t="shared" si="91"/>
        <v>1</v>
      </c>
    </row>
    <row r="1463" spans="1:12" x14ac:dyDescent="0.25">
      <c r="A1463" t="s">
        <v>1648</v>
      </c>
      <c r="B1463" t="s">
        <v>75</v>
      </c>
      <c r="C1463">
        <v>7</v>
      </c>
      <c r="D1463">
        <v>5</v>
      </c>
      <c r="G1463">
        <v>12</v>
      </c>
      <c r="H1463">
        <v>0</v>
      </c>
      <c r="I1463">
        <f t="shared" si="88"/>
        <v>1</v>
      </c>
      <c r="J1463">
        <f t="shared" si="89"/>
        <v>0</v>
      </c>
      <c r="K1463">
        <f t="shared" si="90"/>
        <v>0</v>
      </c>
      <c r="L1463">
        <f t="shared" si="91"/>
        <v>1</v>
      </c>
    </row>
    <row r="1464" spans="1:12" x14ac:dyDescent="0.25">
      <c r="A1464" t="s">
        <v>1649</v>
      </c>
      <c r="B1464" t="s">
        <v>75</v>
      </c>
      <c r="C1464">
        <v>6</v>
      </c>
      <c r="D1464">
        <v>4</v>
      </c>
      <c r="G1464">
        <v>10</v>
      </c>
      <c r="H1464">
        <v>0</v>
      </c>
      <c r="I1464">
        <f t="shared" si="88"/>
        <v>1</v>
      </c>
      <c r="J1464">
        <f t="shared" si="89"/>
        <v>0</v>
      </c>
      <c r="K1464">
        <f t="shared" si="90"/>
        <v>0</v>
      </c>
      <c r="L1464">
        <f t="shared" si="91"/>
        <v>1</v>
      </c>
    </row>
    <row r="1465" spans="1:12" x14ac:dyDescent="0.25">
      <c r="A1465" t="s">
        <v>1650</v>
      </c>
      <c r="B1465" t="s">
        <v>75</v>
      </c>
      <c r="C1465">
        <v>12</v>
      </c>
      <c r="D1465">
        <v>0</v>
      </c>
      <c r="G1465">
        <v>12</v>
      </c>
      <c r="H1465">
        <v>0</v>
      </c>
      <c r="I1465">
        <f t="shared" si="88"/>
        <v>1</v>
      </c>
      <c r="J1465">
        <f t="shared" si="89"/>
        <v>0</v>
      </c>
      <c r="K1465">
        <f t="shared" si="90"/>
        <v>0</v>
      </c>
      <c r="L1465">
        <f t="shared" si="91"/>
        <v>0</v>
      </c>
    </row>
    <row r="1466" spans="1:12" x14ac:dyDescent="0.25">
      <c r="A1466" t="s">
        <v>1651</v>
      </c>
      <c r="B1466" t="s">
        <v>75</v>
      </c>
      <c r="C1466">
        <v>8</v>
      </c>
      <c r="D1466">
        <v>4</v>
      </c>
      <c r="G1466">
        <v>12</v>
      </c>
      <c r="H1466">
        <v>0</v>
      </c>
      <c r="I1466">
        <f t="shared" si="88"/>
        <v>1</v>
      </c>
      <c r="J1466">
        <f t="shared" si="89"/>
        <v>0</v>
      </c>
      <c r="K1466">
        <f t="shared" si="90"/>
        <v>0</v>
      </c>
      <c r="L1466">
        <f t="shared" si="91"/>
        <v>1</v>
      </c>
    </row>
    <row r="1467" spans="1:12" x14ac:dyDescent="0.25">
      <c r="A1467" t="s">
        <v>1652</v>
      </c>
      <c r="B1467" t="s">
        <v>75</v>
      </c>
      <c r="C1467">
        <v>12</v>
      </c>
      <c r="D1467">
        <v>0</v>
      </c>
      <c r="G1467">
        <v>12</v>
      </c>
      <c r="H1467">
        <v>0</v>
      </c>
      <c r="I1467">
        <f t="shared" si="88"/>
        <v>1</v>
      </c>
      <c r="J1467">
        <f t="shared" si="89"/>
        <v>0</v>
      </c>
      <c r="K1467">
        <f t="shared" si="90"/>
        <v>0</v>
      </c>
      <c r="L1467">
        <f t="shared" si="91"/>
        <v>0</v>
      </c>
    </row>
    <row r="1468" spans="1:12" x14ac:dyDescent="0.25">
      <c r="A1468" t="s">
        <v>1653</v>
      </c>
      <c r="B1468" t="s">
        <v>75</v>
      </c>
      <c r="C1468">
        <v>2</v>
      </c>
      <c r="D1468">
        <v>2</v>
      </c>
      <c r="G1468">
        <v>4</v>
      </c>
      <c r="H1468">
        <v>0</v>
      </c>
      <c r="I1468">
        <f t="shared" si="88"/>
        <v>1</v>
      </c>
      <c r="J1468">
        <f t="shared" si="89"/>
        <v>0</v>
      </c>
      <c r="K1468">
        <f t="shared" si="90"/>
        <v>0</v>
      </c>
      <c r="L1468">
        <f t="shared" si="91"/>
        <v>1</v>
      </c>
    </row>
    <row r="1469" spans="1:12" x14ac:dyDescent="0.25">
      <c r="A1469" t="s">
        <v>1654</v>
      </c>
      <c r="B1469" t="s">
        <v>75</v>
      </c>
      <c r="C1469">
        <v>20</v>
      </c>
      <c r="D1469">
        <v>13</v>
      </c>
      <c r="G1469">
        <v>33</v>
      </c>
      <c r="H1469">
        <v>0</v>
      </c>
      <c r="I1469">
        <f t="shared" si="88"/>
        <v>1</v>
      </c>
      <c r="J1469">
        <f t="shared" si="89"/>
        <v>0</v>
      </c>
      <c r="K1469">
        <f t="shared" si="90"/>
        <v>0</v>
      </c>
      <c r="L1469">
        <f t="shared" si="91"/>
        <v>1</v>
      </c>
    </row>
    <row r="1470" spans="1:12" x14ac:dyDescent="0.25">
      <c r="A1470" t="s">
        <v>1655</v>
      </c>
      <c r="B1470" t="s">
        <v>75</v>
      </c>
      <c r="C1470">
        <v>16</v>
      </c>
      <c r="D1470">
        <v>0</v>
      </c>
      <c r="G1470">
        <v>16</v>
      </c>
      <c r="H1470">
        <v>0</v>
      </c>
      <c r="I1470">
        <f t="shared" si="88"/>
        <v>1</v>
      </c>
      <c r="J1470">
        <f t="shared" si="89"/>
        <v>0</v>
      </c>
      <c r="K1470">
        <f t="shared" si="90"/>
        <v>0</v>
      </c>
      <c r="L1470">
        <f t="shared" si="91"/>
        <v>0</v>
      </c>
    </row>
    <row r="1471" spans="1:12" x14ac:dyDescent="0.25">
      <c r="A1471" t="s">
        <v>1656</v>
      </c>
      <c r="B1471" t="s">
        <v>75</v>
      </c>
      <c r="C1471">
        <v>6</v>
      </c>
      <c r="D1471">
        <v>12</v>
      </c>
      <c r="G1471">
        <v>18</v>
      </c>
      <c r="H1471">
        <v>0</v>
      </c>
      <c r="I1471">
        <f t="shared" si="88"/>
        <v>1</v>
      </c>
      <c r="J1471">
        <f t="shared" si="89"/>
        <v>0</v>
      </c>
      <c r="K1471">
        <f t="shared" si="90"/>
        <v>0</v>
      </c>
      <c r="L1471">
        <f t="shared" si="91"/>
        <v>1</v>
      </c>
    </row>
    <row r="1472" spans="1:12" x14ac:dyDescent="0.25">
      <c r="A1472" t="s">
        <v>1657</v>
      </c>
      <c r="B1472" t="s">
        <v>75</v>
      </c>
      <c r="C1472">
        <v>52</v>
      </c>
      <c r="D1472">
        <v>0</v>
      </c>
      <c r="G1472">
        <v>52</v>
      </c>
      <c r="H1472">
        <v>0</v>
      </c>
      <c r="I1472">
        <f t="shared" si="88"/>
        <v>1</v>
      </c>
      <c r="J1472">
        <f t="shared" si="89"/>
        <v>0</v>
      </c>
      <c r="K1472">
        <f t="shared" si="90"/>
        <v>0</v>
      </c>
      <c r="L1472">
        <f t="shared" si="91"/>
        <v>0</v>
      </c>
    </row>
    <row r="1473" spans="1:12" x14ac:dyDescent="0.25">
      <c r="A1473" t="s">
        <v>1658</v>
      </c>
      <c r="B1473" t="s">
        <v>75</v>
      </c>
      <c r="C1473">
        <v>0</v>
      </c>
      <c r="D1473">
        <v>0</v>
      </c>
      <c r="G1473">
        <v>0</v>
      </c>
      <c r="H1473">
        <v>0</v>
      </c>
      <c r="I1473">
        <f t="shared" si="88"/>
        <v>0</v>
      </c>
      <c r="J1473">
        <f t="shared" si="89"/>
        <v>0</v>
      </c>
      <c r="K1473">
        <f t="shared" si="90"/>
        <v>0</v>
      </c>
      <c r="L1473">
        <f t="shared" si="91"/>
        <v>0</v>
      </c>
    </row>
    <row r="1474" spans="1:12" x14ac:dyDescent="0.25">
      <c r="A1474" t="s">
        <v>1659</v>
      </c>
      <c r="B1474" t="s">
        <v>75</v>
      </c>
      <c r="C1474">
        <v>14</v>
      </c>
      <c r="D1474">
        <v>0</v>
      </c>
      <c r="G1474">
        <v>14</v>
      </c>
      <c r="H1474">
        <v>0</v>
      </c>
      <c r="I1474">
        <f t="shared" si="88"/>
        <v>1</v>
      </c>
      <c r="J1474">
        <f t="shared" si="89"/>
        <v>0</v>
      </c>
      <c r="K1474">
        <f t="shared" si="90"/>
        <v>0</v>
      </c>
      <c r="L1474">
        <f t="shared" si="91"/>
        <v>0</v>
      </c>
    </row>
    <row r="1475" spans="1:12" x14ac:dyDescent="0.25">
      <c r="A1475" t="s">
        <v>1660</v>
      </c>
      <c r="B1475" t="s">
        <v>75</v>
      </c>
      <c r="C1475">
        <v>15</v>
      </c>
      <c r="D1475">
        <v>0</v>
      </c>
      <c r="G1475">
        <v>15</v>
      </c>
      <c r="H1475">
        <v>0</v>
      </c>
      <c r="I1475">
        <f t="shared" ref="I1475:I1538" si="92">IF(C1475&gt;0, 1, 0)</f>
        <v>1</v>
      </c>
      <c r="J1475">
        <f t="shared" ref="J1475:J1538" si="93">IF(E1475&gt;0, 1,0)</f>
        <v>0</v>
      </c>
      <c r="K1475">
        <f t="shared" ref="K1475:K1538" si="94">IF(F1475&gt;0, 1, 0)</f>
        <v>0</v>
      </c>
      <c r="L1475">
        <f t="shared" ref="L1475:L1538" si="95">IF(D1475&gt;0, 1, 0)</f>
        <v>0</v>
      </c>
    </row>
    <row r="1476" spans="1:12" x14ac:dyDescent="0.25">
      <c r="A1476" t="s">
        <v>1661</v>
      </c>
      <c r="B1476" t="s">
        <v>75</v>
      </c>
      <c r="C1476">
        <v>12</v>
      </c>
      <c r="D1476">
        <v>0</v>
      </c>
      <c r="G1476">
        <v>12</v>
      </c>
      <c r="H1476">
        <v>0</v>
      </c>
      <c r="I1476">
        <f t="shared" si="92"/>
        <v>1</v>
      </c>
      <c r="J1476">
        <f t="shared" si="93"/>
        <v>0</v>
      </c>
      <c r="K1476">
        <f t="shared" si="94"/>
        <v>0</v>
      </c>
      <c r="L1476">
        <f t="shared" si="95"/>
        <v>0</v>
      </c>
    </row>
    <row r="1477" spans="1:12" x14ac:dyDescent="0.25">
      <c r="A1477" t="s">
        <v>1662</v>
      </c>
      <c r="B1477" t="s">
        <v>75</v>
      </c>
      <c r="C1477">
        <v>12</v>
      </c>
      <c r="D1477">
        <v>3</v>
      </c>
      <c r="G1477">
        <v>15</v>
      </c>
      <c r="H1477">
        <v>0</v>
      </c>
      <c r="I1477">
        <f t="shared" si="92"/>
        <v>1</v>
      </c>
      <c r="J1477">
        <f t="shared" si="93"/>
        <v>0</v>
      </c>
      <c r="K1477">
        <f t="shared" si="94"/>
        <v>0</v>
      </c>
      <c r="L1477">
        <f t="shared" si="95"/>
        <v>1</v>
      </c>
    </row>
    <row r="1478" spans="1:12" x14ac:dyDescent="0.25">
      <c r="A1478" t="s">
        <v>1663</v>
      </c>
      <c r="B1478" t="s">
        <v>75</v>
      </c>
      <c r="C1478">
        <v>8</v>
      </c>
      <c r="D1478">
        <v>4</v>
      </c>
      <c r="G1478">
        <v>12</v>
      </c>
      <c r="H1478">
        <v>0</v>
      </c>
      <c r="I1478">
        <f t="shared" si="92"/>
        <v>1</v>
      </c>
      <c r="J1478">
        <f t="shared" si="93"/>
        <v>0</v>
      </c>
      <c r="K1478">
        <f t="shared" si="94"/>
        <v>0</v>
      </c>
      <c r="L1478">
        <f t="shared" si="95"/>
        <v>1</v>
      </c>
    </row>
    <row r="1479" spans="1:12" x14ac:dyDescent="0.25">
      <c r="A1479" t="s">
        <v>1664</v>
      </c>
      <c r="B1479" t="s">
        <v>75</v>
      </c>
      <c r="C1479">
        <v>6</v>
      </c>
      <c r="D1479">
        <v>12</v>
      </c>
      <c r="G1479">
        <v>18</v>
      </c>
      <c r="H1479">
        <v>0</v>
      </c>
      <c r="I1479">
        <f t="shared" si="92"/>
        <v>1</v>
      </c>
      <c r="J1479">
        <f t="shared" si="93"/>
        <v>0</v>
      </c>
      <c r="K1479">
        <f t="shared" si="94"/>
        <v>0</v>
      </c>
      <c r="L1479">
        <f t="shared" si="95"/>
        <v>1</v>
      </c>
    </row>
    <row r="1480" spans="1:12" x14ac:dyDescent="0.25">
      <c r="A1480" t="s">
        <v>1665</v>
      </c>
      <c r="B1480" t="s">
        <v>75</v>
      </c>
      <c r="C1480">
        <v>12</v>
      </c>
      <c r="D1480">
        <v>11</v>
      </c>
      <c r="G1480">
        <v>23</v>
      </c>
      <c r="H1480">
        <v>0</v>
      </c>
      <c r="I1480">
        <f t="shared" si="92"/>
        <v>1</v>
      </c>
      <c r="J1480">
        <f t="shared" si="93"/>
        <v>0</v>
      </c>
      <c r="K1480">
        <f t="shared" si="94"/>
        <v>0</v>
      </c>
      <c r="L1480">
        <f t="shared" si="95"/>
        <v>1</v>
      </c>
    </row>
    <row r="1481" spans="1:12" x14ac:dyDescent="0.25">
      <c r="A1481" t="s">
        <v>1666</v>
      </c>
      <c r="B1481" t="s">
        <v>75</v>
      </c>
      <c r="C1481">
        <v>6</v>
      </c>
      <c r="D1481">
        <v>11</v>
      </c>
      <c r="G1481">
        <v>17</v>
      </c>
      <c r="H1481">
        <v>0</v>
      </c>
      <c r="I1481">
        <f t="shared" si="92"/>
        <v>1</v>
      </c>
      <c r="J1481">
        <f t="shared" si="93"/>
        <v>0</v>
      </c>
      <c r="K1481">
        <f t="shared" si="94"/>
        <v>0</v>
      </c>
      <c r="L1481">
        <f t="shared" si="95"/>
        <v>1</v>
      </c>
    </row>
    <row r="1482" spans="1:12" x14ac:dyDescent="0.25">
      <c r="A1482" t="s">
        <v>1667</v>
      </c>
      <c r="B1482" t="s">
        <v>75</v>
      </c>
      <c r="C1482">
        <v>3</v>
      </c>
      <c r="D1482">
        <v>3</v>
      </c>
      <c r="G1482">
        <v>6</v>
      </c>
      <c r="H1482">
        <v>0</v>
      </c>
      <c r="I1482">
        <f t="shared" si="92"/>
        <v>1</v>
      </c>
      <c r="J1482">
        <f t="shared" si="93"/>
        <v>0</v>
      </c>
      <c r="K1482">
        <f t="shared" si="94"/>
        <v>0</v>
      </c>
      <c r="L1482">
        <f t="shared" si="95"/>
        <v>1</v>
      </c>
    </row>
    <row r="1483" spans="1:12" x14ac:dyDescent="0.25">
      <c r="A1483" t="s">
        <v>1668</v>
      </c>
      <c r="B1483" t="s">
        <v>75</v>
      </c>
      <c r="C1483">
        <v>16</v>
      </c>
      <c r="D1483">
        <v>0</v>
      </c>
      <c r="G1483">
        <v>16</v>
      </c>
      <c r="H1483">
        <v>0</v>
      </c>
      <c r="I1483">
        <f t="shared" si="92"/>
        <v>1</v>
      </c>
      <c r="J1483">
        <f t="shared" si="93"/>
        <v>0</v>
      </c>
      <c r="K1483">
        <f t="shared" si="94"/>
        <v>0</v>
      </c>
      <c r="L1483">
        <f t="shared" si="95"/>
        <v>0</v>
      </c>
    </row>
    <row r="1484" spans="1:12" x14ac:dyDescent="0.25">
      <c r="A1484" t="s">
        <v>1669</v>
      </c>
      <c r="B1484" t="s">
        <v>75</v>
      </c>
      <c r="C1484">
        <v>16</v>
      </c>
      <c r="D1484">
        <v>0</v>
      </c>
      <c r="G1484">
        <v>16</v>
      </c>
      <c r="H1484">
        <v>0</v>
      </c>
      <c r="I1484">
        <f t="shared" si="92"/>
        <v>1</v>
      </c>
      <c r="J1484">
        <f t="shared" si="93"/>
        <v>0</v>
      </c>
      <c r="K1484">
        <f t="shared" si="94"/>
        <v>0</v>
      </c>
      <c r="L1484">
        <f t="shared" si="95"/>
        <v>0</v>
      </c>
    </row>
    <row r="1485" spans="1:12" x14ac:dyDescent="0.25">
      <c r="A1485" t="s">
        <v>1670</v>
      </c>
      <c r="B1485" t="s">
        <v>75</v>
      </c>
      <c r="C1485">
        <v>12</v>
      </c>
      <c r="D1485">
        <v>0</v>
      </c>
      <c r="G1485">
        <v>12</v>
      </c>
      <c r="H1485">
        <v>0</v>
      </c>
      <c r="I1485">
        <f t="shared" si="92"/>
        <v>1</v>
      </c>
      <c r="J1485">
        <f t="shared" si="93"/>
        <v>0</v>
      </c>
      <c r="K1485">
        <f t="shared" si="94"/>
        <v>0</v>
      </c>
      <c r="L1485">
        <f t="shared" si="95"/>
        <v>0</v>
      </c>
    </row>
    <row r="1486" spans="1:12" x14ac:dyDescent="0.25">
      <c r="A1486" t="s">
        <v>1671</v>
      </c>
      <c r="B1486" t="s">
        <v>75</v>
      </c>
      <c r="C1486">
        <v>12</v>
      </c>
      <c r="D1486">
        <v>0</v>
      </c>
      <c r="G1486">
        <v>12</v>
      </c>
      <c r="H1486">
        <v>0</v>
      </c>
      <c r="I1486">
        <f t="shared" si="92"/>
        <v>1</v>
      </c>
      <c r="J1486">
        <f t="shared" si="93"/>
        <v>0</v>
      </c>
      <c r="K1486">
        <f t="shared" si="94"/>
        <v>0</v>
      </c>
      <c r="L1486">
        <f t="shared" si="95"/>
        <v>0</v>
      </c>
    </row>
    <row r="1487" spans="1:12" x14ac:dyDescent="0.25">
      <c r="A1487" t="s">
        <v>1672</v>
      </c>
      <c r="B1487" t="s">
        <v>75</v>
      </c>
      <c r="C1487">
        <v>26</v>
      </c>
      <c r="D1487">
        <v>0</v>
      </c>
      <c r="G1487">
        <v>26</v>
      </c>
      <c r="H1487">
        <v>0</v>
      </c>
      <c r="I1487">
        <f t="shared" si="92"/>
        <v>1</v>
      </c>
      <c r="J1487">
        <f t="shared" si="93"/>
        <v>0</v>
      </c>
      <c r="K1487">
        <f t="shared" si="94"/>
        <v>0</v>
      </c>
      <c r="L1487">
        <f t="shared" si="95"/>
        <v>0</v>
      </c>
    </row>
    <row r="1488" spans="1:12" x14ac:dyDescent="0.25">
      <c r="A1488" t="s">
        <v>1673</v>
      </c>
      <c r="B1488" t="s">
        <v>75</v>
      </c>
      <c r="C1488">
        <v>16</v>
      </c>
      <c r="E1488">
        <v>8</v>
      </c>
      <c r="G1488">
        <v>16</v>
      </c>
      <c r="H1488">
        <v>8</v>
      </c>
      <c r="I1488">
        <f t="shared" si="92"/>
        <v>1</v>
      </c>
      <c r="J1488">
        <f t="shared" si="93"/>
        <v>1</v>
      </c>
      <c r="K1488">
        <f t="shared" si="94"/>
        <v>0</v>
      </c>
      <c r="L1488">
        <f t="shared" si="95"/>
        <v>0</v>
      </c>
    </row>
    <row r="1489" spans="1:12" x14ac:dyDescent="0.25">
      <c r="A1489" t="s">
        <v>1674</v>
      </c>
      <c r="B1489" t="s">
        <v>75</v>
      </c>
      <c r="C1489">
        <v>14</v>
      </c>
      <c r="D1489">
        <v>10</v>
      </c>
      <c r="G1489">
        <v>24</v>
      </c>
      <c r="H1489">
        <v>0</v>
      </c>
      <c r="I1489">
        <f t="shared" si="92"/>
        <v>1</v>
      </c>
      <c r="J1489">
        <f t="shared" si="93"/>
        <v>0</v>
      </c>
      <c r="K1489">
        <f t="shared" si="94"/>
        <v>0</v>
      </c>
      <c r="L1489">
        <f t="shared" si="95"/>
        <v>1</v>
      </c>
    </row>
    <row r="1490" spans="1:12" x14ac:dyDescent="0.25">
      <c r="A1490" t="s">
        <v>1675</v>
      </c>
      <c r="B1490" t="s">
        <v>75</v>
      </c>
      <c r="C1490">
        <v>12</v>
      </c>
      <c r="D1490">
        <v>0</v>
      </c>
      <c r="G1490">
        <v>12</v>
      </c>
      <c r="H1490">
        <v>0</v>
      </c>
      <c r="I1490">
        <f t="shared" si="92"/>
        <v>1</v>
      </c>
      <c r="J1490">
        <f t="shared" si="93"/>
        <v>0</v>
      </c>
      <c r="K1490">
        <f t="shared" si="94"/>
        <v>0</v>
      </c>
      <c r="L1490">
        <f t="shared" si="95"/>
        <v>0</v>
      </c>
    </row>
    <row r="1491" spans="1:12" x14ac:dyDescent="0.25">
      <c r="A1491" t="s">
        <v>1676</v>
      </c>
      <c r="B1491" t="s">
        <v>75</v>
      </c>
      <c r="C1491">
        <v>12</v>
      </c>
      <c r="D1491">
        <v>12</v>
      </c>
      <c r="G1491">
        <v>24</v>
      </c>
      <c r="H1491">
        <v>0</v>
      </c>
      <c r="I1491">
        <f t="shared" si="92"/>
        <v>1</v>
      </c>
      <c r="J1491">
        <f t="shared" si="93"/>
        <v>0</v>
      </c>
      <c r="K1491">
        <f t="shared" si="94"/>
        <v>0</v>
      </c>
      <c r="L1491">
        <f t="shared" si="95"/>
        <v>1</v>
      </c>
    </row>
    <row r="1492" spans="1:12" x14ac:dyDescent="0.25">
      <c r="A1492" t="s">
        <v>1677</v>
      </c>
      <c r="B1492" t="s">
        <v>75</v>
      </c>
      <c r="C1492">
        <v>18</v>
      </c>
      <c r="D1492">
        <v>0</v>
      </c>
      <c r="G1492">
        <v>18</v>
      </c>
      <c r="H1492">
        <v>0</v>
      </c>
      <c r="I1492">
        <f t="shared" si="92"/>
        <v>1</v>
      </c>
      <c r="J1492">
        <f t="shared" si="93"/>
        <v>0</v>
      </c>
      <c r="K1492">
        <f t="shared" si="94"/>
        <v>0</v>
      </c>
      <c r="L1492">
        <f t="shared" si="95"/>
        <v>0</v>
      </c>
    </row>
    <row r="1493" spans="1:12" x14ac:dyDescent="0.25">
      <c r="A1493" t="s">
        <v>1678</v>
      </c>
      <c r="B1493" t="s">
        <v>75</v>
      </c>
      <c r="C1493">
        <v>12</v>
      </c>
      <c r="D1493">
        <v>12</v>
      </c>
      <c r="G1493">
        <v>24</v>
      </c>
      <c r="H1493">
        <v>0</v>
      </c>
      <c r="I1493">
        <f t="shared" si="92"/>
        <v>1</v>
      </c>
      <c r="J1493">
        <f t="shared" si="93"/>
        <v>0</v>
      </c>
      <c r="K1493">
        <f t="shared" si="94"/>
        <v>0</v>
      </c>
      <c r="L1493">
        <f t="shared" si="95"/>
        <v>1</v>
      </c>
    </row>
    <row r="1494" spans="1:12" x14ac:dyDescent="0.25">
      <c r="A1494" t="s">
        <v>1679</v>
      </c>
      <c r="B1494" t="s">
        <v>75</v>
      </c>
      <c r="C1494">
        <v>12</v>
      </c>
      <c r="D1494">
        <v>0</v>
      </c>
      <c r="G1494">
        <v>12</v>
      </c>
      <c r="H1494">
        <v>0</v>
      </c>
      <c r="I1494">
        <f t="shared" si="92"/>
        <v>1</v>
      </c>
      <c r="J1494">
        <f t="shared" si="93"/>
        <v>0</v>
      </c>
      <c r="K1494">
        <f t="shared" si="94"/>
        <v>0</v>
      </c>
      <c r="L1494">
        <f t="shared" si="95"/>
        <v>0</v>
      </c>
    </row>
    <row r="1495" spans="1:12" x14ac:dyDescent="0.25">
      <c r="A1495" t="s">
        <v>1680</v>
      </c>
      <c r="B1495" t="s">
        <v>75</v>
      </c>
      <c r="C1495">
        <v>52</v>
      </c>
      <c r="D1495">
        <v>0</v>
      </c>
      <c r="G1495">
        <v>52</v>
      </c>
      <c r="H1495">
        <v>0</v>
      </c>
      <c r="I1495">
        <f t="shared" si="92"/>
        <v>1</v>
      </c>
      <c r="J1495">
        <f t="shared" si="93"/>
        <v>0</v>
      </c>
      <c r="K1495">
        <f t="shared" si="94"/>
        <v>0</v>
      </c>
      <c r="L1495">
        <f t="shared" si="95"/>
        <v>0</v>
      </c>
    </row>
    <row r="1496" spans="1:12" x14ac:dyDescent="0.25">
      <c r="A1496" t="s">
        <v>1681</v>
      </c>
      <c r="B1496" t="s">
        <v>75</v>
      </c>
      <c r="C1496">
        <v>8</v>
      </c>
      <c r="D1496">
        <v>8</v>
      </c>
      <c r="G1496">
        <v>16</v>
      </c>
      <c r="H1496">
        <v>0</v>
      </c>
      <c r="I1496">
        <f t="shared" si="92"/>
        <v>1</v>
      </c>
      <c r="J1496">
        <f t="shared" si="93"/>
        <v>0</v>
      </c>
      <c r="K1496">
        <f t="shared" si="94"/>
        <v>0</v>
      </c>
      <c r="L1496">
        <f t="shared" si="95"/>
        <v>1</v>
      </c>
    </row>
    <row r="1497" spans="1:12" x14ac:dyDescent="0.25">
      <c r="A1497" t="s">
        <v>1682</v>
      </c>
      <c r="B1497" t="s">
        <v>75</v>
      </c>
      <c r="C1497">
        <v>6</v>
      </c>
      <c r="D1497">
        <v>6</v>
      </c>
      <c r="G1497">
        <v>12</v>
      </c>
      <c r="H1497">
        <v>0</v>
      </c>
      <c r="I1497">
        <f t="shared" si="92"/>
        <v>1</v>
      </c>
      <c r="J1497">
        <f t="shared" si="93"/>
        <v>0</v>
      </c>
      <c r="K1497">
        <f t="shared" si="94"/>
        <v>0</v>
      </c>
      <c r="L1497">
        <f t="shared" si="95"/>
        <v>1</v>
      </c>
    </row>
    <row r="1498" spans="1:12" x14ac:dyDescent="0.25">
      <c r="A1498" t="s">
        <v>1683</v>
      </c>
      <c r="B1498" t="s">
        <v>75</v>
      </c>
      <c r="C1498">
        <v>12</v>
      </c>
      <c r="D1498">
        <v>0</v>
      </c>
      <c r="G1498">
        <v>12</v>
      </c>
      <c r="H1498">
        <v>0</v>
      </c>
      <c r="I1498">
        <f t="shared" si="92"/>
        <v>1</v>
      </c>
      <c r="J1498">
        <f t="shared" si="93"/>
        <v>0</v>
      </c>
      <c r="K1498">
        <f t="shared" si="94"/>
        <v>0</v>
      </c>
      <c r="L1498">
        <f t="shared" si="95"/>
        <v>0</v>
      </c>
    </row>
    <row r="1499" spans="1:12" x14ac:dyDescent="0.25">
      <c r="A1499" t="s">
        <v>1684</v>
      </c>
      <c r="B1499" t="s">
        <v>75</v>
      </c>
      <c r="C1499">
        <v>14</v>
      </c>
      <c r="D1499">
        <v>0</v>
      </c>
      <c r="G1499">
        <v>14</v>
      </c>
      <c r="H1499">
        <v>0</v>
      </c>
      <c r="I1499">
        <f t="shared" si="92"/>
        <v>1</v>
      </c>
      <c r="J1499">
        <f t="shared" si="93"/>
        <v>0</v>
      </c>
      <c r="K1499">
        <f t="shared" si="94"/>
        <v>0</v>
      </c>
      <c r="L1499">
        <f t="shared" si="95"/>
        <v>0</v>
      </c>
    </row>
    <row r="1500" spans="1:12" x14ac:dyDescent="0.25">
      <c r="A1500" t="s">
        <v>1685</v>
      </c>
      <c r="B1500" t="s">
        <v>82</v>
      </c>
      <c r="C1500">
        <v>8</v>
      </c>
      <c r="D1500">
        <v>12</v>
      </c>
      <c r="G1500">
        <v>20</v>
      </c>
      <c r="H1500">
        <v>0</v>
      </c>
      <c r="I1500">
        <f t="shared" si="92"/>
        <v>1</v>
      </c>
      <c r="J1500">
        <f t="shared" si="93"/>
        <v>0</v>
      </c>
      <c r="K1500">
        <f t="shared" si="94"/>
        <v>0</v>
      </c>
      <c r="L1500">
        <f t="shared" si="95"/>
        <v>1</v>
      </c>
    </row>
    <row r="1501" spans="1:12" x14ac:dyDescent="0.25">
      <c r="A1501" t="s">
        <v>1686</v>
      </c>
      <c r="B1501" t="s">
        <v>82</v>
      </c>
      <c r="C1501">
        <v>12</v>
      </c>
      <c r="D1501">
        <v>8</v>
      </c>
      <c r="G1501">
        <v>20</v>
      </c>
      <c r="H1501">
        <v>0</v>
      </c>
      <c r="I1501">
        <f t="shared" si="92"/>
        <v>1</v>
      </c>
      <c r="J1501">
        <f t="shared" si="93"/>
        <v>0</v>
      </c>
      <c r="K1501">
        <f t="shared" si="94"/>
        <v>0</v>
      </c>
      <c r="L1501">
        <f t="shared" si="95"/>
        <v>1</v>
      </c>
    </row>
    <row r="1502" spans="1:12" x14ac:dyDescent="0.25">
      <c r="A1502" t="s">
        <v>1687</v>
      </c>
      <c r="B1502" t="s">
        <v>82</v>
      </c>
      <c r="C1502">
        <v>9</v>
      </c>
      <c r="D1502">
        <v>6</v>
      </c>
      <c r="G1502">
        <v>15</v>
      </c>
      <c r="H1502">
        <v>0</v>
      </c>
      <c r="I1502">
        <f t="shared" si="92"/>
        <v>1</v>
      </c>
      <c r="J1502">
        <f t="shared" si="93"/>
        <v>0</v>
      </c>
      <c r="K1502">
        <f t="shared" si="94"/>
        <v>0</v>
      </c>
      <c r="L1502">
        <f t="shared" si="95"/>
        <v>1</v>
      </c>
    </row>
    <row r="1503" spans="1:12" x14ac:dyDescent="0.25">
      <c r="A1503" t="s">
        <v>1688</v>
      </c>
      <c r="B1503" t="s">
        <v>82</v>
      </c>
      <c r="C1503">
        <v>18</v>
      </c>
      <c r="D1503">
        <v>0</v>
      </c>
      <c r="G1503">
        <v>18</v>
      </c>
      <c r="H1503">
        <v>0</v>
      </c>
      <c r="I1503">
        <f t="shared" si="92"/>
        <v>1</v>
      </c>
      <c r="J1503">
        <f t="shared" si="93"/>
        <v>0</v>
      </c>
      <c r="K1503">
        <f t="shared" si="94"/>
        <v>0</v>
      </c>
      <c r="L1503">
        <f t="shared" si="95"/>
        <v>0</v>
      </c>
    </row>
    <row r="1504" spans="1:12" x14ac:dyDescent="0.25">
      <c r="A1504" t="s">
        <v>1689</v>
      </c>
      <c r="B1504" t="s">
        <v>82</v>
      </c>
      <c r="C1504">
        <v>12</v>
      </c>
      <c r="D1504">
        <v>4</v>
      </c>
      <c r="G1504">
        <v>16</v>
      </c>
      <c r="H1504">
        <v>0</v>
      </c>
      <c r="I1504">
        <f t="shared" si="92"/>
        <v>1</v>
      </c>
      <c r="J1504">
        <f t="shared" si="93"/>
        <v>0</v>
      </c>
      <c r="K1504">
        <f t="shared" si="94"/>
        <v>0</v>
      </c>
      <c r="L1504">
        <f t="shared" si="95"/>
        <v>1</v>
      </c>
    </row>
    <row r="1505" spans="1:12" x14ac:dyDescent="0.25">
      <c r="A1505" t="s">
        <v>1690</v>
      </c>
      <c r="B1505" t="s">
        <v>82</v>
      </c>
      <c r="C1505">
        <v>8</v>
      </c>
      <c r="D1505">
        <v>8</v>
      </c>
      <c r="G1505">
        <v>16</v>
      </c>
      <c r="H1505">
        <v>0</v>
      </c>
      <c r="I1505">
        <f t="shared" si="92"/>
        <v>1</v>
      </c>
      <c r="J1505">
        <f t="shared" si="93"/>
        <v>0</v>
      </c>
      <c r="K1505">
        <f t="shared" si="94"/>
        <v>0</v>
      </c>
      <c r="L1505">
        <f t="shared" si="95"/>
        <v>1</v>
      </c>
    </row>
    <row r="1506" spans="1:12" x14ac:dyDescent="0.25">
      <c r="A1506" t="s">
        <v>1691</v>
      </c>
      <c r="B1506" t="s">
        <v>82</v>
      </c>
      <c r="C1506">
        <v>13</v>
      </c>
      <c r="D1506">
        <v>2</v>
      </c>
      <c r="G1506">
        <v>15</v>
      </c>
      <c r="H1506">
        <v>0</v>
      </c>
      <c r="I1506">
        <f t="shared" si="92"/>
        <v>1</v>
      </c>
      <c r="J1506">
        <f t="shared" si="93"/>
        <v>0</v>
      </c>
      <c r="K1506">
        <f t="shared" si="94"/>
        <v>0</v>
      </c>
      <c r="L1506">
        <f t="shared" si="95"/>
        <v>1</v>
      </c>
    </row>
    <row r="1507" spans="1:12" x14ac:dyDescent="0.25">
      <c r="A1507" t="s">
        <v>1692</v>
      </c>
      <c r="B1507" t="s">
        <v>82</v>
      </c>
      <c r="C1507">
        <v>16</v>
      </c>
      <c r="D1507">
        <v>0</v>
      </c>
      <c r="G1507">
        <v>16</v>
      </c>
      <c r="H1507">
        <v>0</v>
      </c>
      <c r="I1507">
        <f t="shared" si="92"/>
        <v>1</v>
      </c>
      <c r="J1507">
        <f t="shared" si="93"/>
        <v>0</v>
      </c>
      <c r="K1507">
        <f t="shared" si="94"/>
        <v>0</v>
      </c>
      <c r="L1507">
        <f t="shared" si="95"/>
        <v>0</v>
      </c>
    </row>
    <row r="1508" spans="1:12" x14ac:dyDescent="0.25">
      <c r="A1508" t="s">
        <v>1693</v>
      </c>
      <c r="B1508" t="s">
        <v>82</v>
      </c>
      <c r="C1508">
        <v>12</v>
      </c>
      <c r="D1508">
        <v>12</v>
      </c>
      <c r="G1508">
        <v>24</v>
      </c>
      <c r="H1508">
        <v>0</v>
      </c>
      <c r="I1508">
        <f t="shared" si="92"/>
        <v>1</v>
      </c>
      <c r="J1508">
        <f t="shared" si="93"/>
        <v>0</v>
      </c>
      <c r="K1508">
        <f t="shared" si="94"/>
        <v>0</v>
      </c>
      <c r="L1508">
        <f t="shared" si="95"/>
        <v>1</v>
      </c>
    </row>
    <row r="1509" spans="1:12" x14ac:dyDescent="0.25">
      <c r="A1509" t="s">
        <v>1694</v>
      </c>
      <c r="B1509" t="s">
        <v>82</v>
      </c>
      <c r="C1509">
        <v>12</v>
      </c>
      <c r="D1509">
        <v>4</v>
      </c>
      <c r="G1509">
        <v>16</v>
      </c>
      <c r="H1509">
        <v>0</v>
      </c>
      <c r="I1509">
        <f t="shared" si="92"/>
        <v>1</v>
      </c>
      <c r="J1509">
        <f t="shared" si="93"/>
        <v>0</v>
      </c>
      <c r="K1509">
        <f t="shared" si="94"/>
        <v>0</v>
      </c>
      <c r="L1509">
        <f t="shared" si="95"/>
        <v>1</v>
      </c>
    </row>
    <row r="1510" spans="1:12" x14ac:dyDescent="0.25">
      <c r="A1510" t="s">
        <v>1695</v>
      </c>
      <c r="B1510" t="s">
        <v>82</v>
      </c>
      <c r="C1510">
        <v>12</v>
      </c>
      <c r="D1510">
        <v>8</v>
      </c>
      <c r="G1510">
        <v>20</v>
      </c>
      <c r="H1510">
        <v>0</v>
      </c>
      <c r="I1510">
        <f t="shared" si="92"/>
        <v>1</v>
      </c>
      <c r="J1510">
        <f t="shared" si="93"/>
        <v>0</v>
      </c>
      <c r="K1510">
        <f t="shared" si="94"/>
        <v>0</v>
      </c>
      <c r="L1510">
        <f t="shared" si="95"/>
        <v>1</v>
      </c>
    </row>
    <row r="1511" spans="1:12" x14ac:dyDescent="0.25">
      <c r="A1511" t="s">
        <v>1696</v>
      </c>
      <c r="B1511" t="s">
        <v>82</v>
      </c>
      <c r="C1511">
        <v>24</v>
      </c>
      <c r="D1511">
        <v>52</v>
      </c>
      <c r="G1511">
        <v>76</v>
      </c>
      <c r="H1511">
        <v>0</v>
      </c>
      <c r="I1511">
        <f t="shared" si="92"/>
        <v>1</v>
      </c>
      <c r="J1511">
        <f t="shared" si="93"/>
        <v>0</v>
      </c>
      <c r="K1511">
        <f t="shared" si="94"/>
        <v>0</v>
      </c>
      <c r="L1511">
        <f t="shared" si="95"/>
        <v>1</v>
      </c>
    </row>
    <row r="1512" spans="1:12" x14ac:dyDescent="0.25">
      <c r="A1512" t="s">
        <v>1697</v>
      </c>
      <c r="B1512" t="s">
        <v>1698</v>
      </c>
      <c r="C1512">
        <v>6</v>
      </c>
      <c r="D1512">
        <v>4</v>
      </c>
      <c r="G1512">
        <v>10</v>
      </c>
      <c r="H1512">
        <v>0</v>
      </c>
      <c r="I1512">
        <f t="shared" si="92"/>
        <v>1</v>
      </c>
      <c r="J1512">
        <f t="shared" si="93"/>
        <v>0</v>
      </c>
      <c r="K1512">
        <f t="shared" si="94"/>
        <v>0</v>
      </c>
      <c r="L1512">
        <f t="shared" si="95"/>
        <v>1</v>
      </c>
    </row>
    <row r="1513" spans="1:12" x14ac:dyDescent="0.25">
      <c r="A1513" t="s">
        <v>1699</v>
      </c>
      <c r="B1513" t="s">
        <v>1700</v>
      </c>
      <c r="C1513">
        <v>52</v>
      </c>
      <c r="D1513">
        <v>0</v>
      </c>
      <c r="G1513">
        <v>52</v>
      </c>
      <c r="H1513">
        <v>0</v>
      </c>
      <c r="I1513">
        <f t="shared" si="92"/>
        <v>1</v>
      </c>
      <c r="J1513">
        <f t="shared" si="93"/>
        <v>0</v>
      </c>
      <c r="K1513">
        <f t="shared" si="94"/>
        <v>0</v>
      </c>
      <c r="L1513">
        <f t="shared" si="95"/>
        <v>0</v>
      </c>
    </row>
    <row r="1514" spans="1:12" x14ac:dyDescent="0.25">
      <c r="A1514" t="s">
        <v>1701</v>
      </c>
      <c r="B1514" t="s">
        <v>359</v>
      </c>
      <c r="C1514">
        <v>3</v>
      </c>
      <c r="D1514">
        <v>8</v>
      </c>
      <c r="G1514">
        <v>11</v>
      </c>
      <c r="H1514">
        <v>0</v>
      </c>
      <c r="I1514">
        <f t="shared" si="92"/>
        <v>1</v>
      </c>
      <c r="J1514">
        <f t="shared" si="93"/>
        <v>0</v>
      </c>
      <c r="K1514">
        <f t="shared" si="94"/>
        <v>0</v>
      </c>
      <c r="L1514">
        <f t="shared" si="95"/>
        <v>1</v>
      </c>
    </row>
    <row r="1515" spans="1:12" x14ac:dyDescent="0.25">
      <c r="A1515" t="s">
        <v>1702</v>
      </c>
      <c r="B1515" t="s">
        <v>362</v>
      </c>
      <c r="C1515">
        <v>16</v>
      </c>
      <c r="D1515">
        <v>52</v>
      </c>
      <c r="G1515">
        <v>68</v>
      </c>
      <c r="H1515">
        <v>0</v>
      </c>
      <c r="I1515">
        <f t="shared" si="92"/>
        <v>1</v>
      </c>
      <c r="J1515">
        <f t="shared" si="93"/>
        <v>0</v>
      </c>
      <c r="K1515">
        <f t="shared" si="94"/>
        <v>0</v>
      </c>
      <c r="L1515">
        <f t="shared" si="95"/>
        <v>1</v>
      </c>
    </row>
    <row r="1516" spans="1:12" x14ac:dyDescent="0.25">
      <c r="A1516" t="s">
        <v>1703</v>
      </c>
      <c r="B1516" t="s">
        <v>362</v>
      </c>
      <c r="C1516">
        <v>6</v>
      </c>
      <c r="D1516">
        <v>6</v>
      </c>
      <c r="G1516">
        <v>12</v>
      </c>
      <c r="H1516">
        <v>0</v>
      </c>
      <c r="I1516">
        <f t="shared" si="92"/>
        <v>1</v>
      </c>
      <c r="J1516">
        <f t="shared" si="93"/>
        <v>0</v>
      </c>
      <c r="K1516">
        <f t="shared" si="94"/>
        <v>0</v>
      </c>
      <c r="L1516">
        <f t="shared" si="95"/>
        <v>1</v>
      </c>
    </row>
    <row r="1517" spans="1:12" x14ac:dyDescent="0.25">
      <c r="A1517" t="s">
        <v>1704</v>
      </c>
      <c r="B1517" t="s">
        <v>362</v>
      </c>
      <c r="C1517">
        <v>4</v>
      </c>
      <c r="D1517">
        <v>4</v>
      </c>
      <c r="G1517">
        <v>8</v>
      </c>
      <c r="H1517">
        <v>0</v>
      </c>
      <c r="I1517">
        <f t="shared" si="92"/>
        <v>1</v>
      </c>
      <c r="J1517">
        <f t="shared" si="93"/>
        <v>0</v>
      </c>
      <c r="K1517">
        <f t="shared" si="94"/>
        <v>0</v>
      </c>
      <c r="L1517">
        <f t="shared" si="95"/>
        <v>1</v>
      </c>
    </row>
    <row r="1518" spans="1:12" x14ac:dyDescent="0.25">
      <c r="A1518" t="s">
        <v>1705</v>
      </c>
      <c r="B1518" t="s">
        <v>362</v>
      </c>
      <c r="C1518">
        <v>4.5</v>
      </c>
      <c r="D1518">
        <v>1</v>
      </c>
      <c r="G1518">
        <v>5.5</v>
      </c>
      <c r="H1518">
        <v>0</v>
      </c>
      <c r="I1518">
        <f t="shared" si="92"/>
        <v>1</v>
      </c>
      <c r="J1518">
        <f t="shared" si="93"/>
        <v>0</v>
      </c>
      <c r="K1518">
        <f t="shared" si="94"/>
        <v>0</v>
      </c>
      <c r="L1518">
        <f t="shared" si="95"/>
        <v>1</v>
      </c>
    </row>
    <row r="1519" spans="1:12" x14ac:dyDescent="0.25">
      <c r="A1519" t="s">
        <v>1706</v>
      </c>
      <c r="B1519" t="s">
        <v>362</v>
      </c>
      <c r="C1519">
        <v>5</v>
      </c>
      <c r="D1519">
        <v>6</v>
      </c>
      <c r="G1519">
        <v>11</v>
      </c>
      <c r="H1519">
        <v>0</v>
      </c>
      <c r="I1519">
        <f t="shared" si="92"/>
        <v>1</v>
      </c>
      <c r="J1519">
        <f t="shared" si="93"/>
        <v>0</v>
      </c>
      <c r="K1519">
        <f t="shared" si="94"/>
        <v>0</v>
      </c>
      <c r="L1519">
        <f t="shared" si="95"/>
        <v>1</v>
      </c>
    </row>
    <row r="1520" spans="1:12" x14ac:dyDescent="0.25">
      <c r="A1520" t="s">
        <v>1707</v>
      </c>
      <c r="B1520" t="s">
        <v>362</v>
      </c>
      <c r="C1520">
        <v>4</v>
      </c>
      <c r="D1520">
        <v>0</v>
      </c>
      <c r="G1520">
        <v>4</v>
      </c>
      <c r="H1520">
        <v>0</v>
      </c>
      <c r="I1520">
        <f t="shared" si="92"/>
        <v>1</v>
      </c>
      <c r="J1520">
        <f t="shared" si="93"/>
        <v>0</v>
      </c>
      <c r="K1520">
        <f t="shared" si="94"/>
        <v>0</v>
      </c>
      <c r="L1520">
        <f t="shared" si="95"/>
        <v>0</v>
      </c>
    </row>
    <row r="1521" spans="1:12" x14ac:dyDescent="0.25">
      <c r="A1521" t="s">
        <v>1708</v>
      </c>
      <c r="B1521" t="s">
        <v>1709</v>
      </c>
      <c r="C1521">
        <v>10.5</v>
      </c>
      <c r="D1521">
        <v>6</v>
      </c>
      <c r="G1521">
        <v>16.5</v>
      </c>
      <c r="H1521">
        <v>0</v>
      </c>
      <c r="I1521">
        <f t="shared" si="92"/>
        <v>1</v>
      </c>
      <c r="J1521">
        <f t="shared" si="93"/>
        <v>0</v>
      </c>
      <c r="K1521">
        <f t="shared" si="94"/>
        <v>0</v>
      </c>
      <c r="L1521">
        <f t="shared" si="95"/>
        <v>1</v>
      </c>
    </row>
    <row r="1522" spans="1:12" x14ac:dyDescent="0.25">
      <c r="A1522" t="s">
        <v>1710</v>
      </c>
      <c r="B1522" t="s">
        <v>1709</v>
      </c>
      <c r="C1522">
        <v>12</v>
      </c>
      <c r="D1522">
        <v>12</v>
      </c>
      <c r="G1522">
        <v>24</v>
      </c>
      <c r="H1522">
        <v>0</v>
      </c>
      <c r="I1522">
        <f t="shared" si="92"/>
        <v>1</v>
      </c>
      <c r="J1522">
        <f t="shared" si="93"/>
        <v>0</v>
      </c>
      <c r="K1522">
        <f t="shared" si="94"/>
        <v>0</v>
      </c>
      <c r="L1522">
        <f t="shared" si="95"/>
        <v>1</v>
      </c>
    </row>
    <row r="1523" spans="1:12" x14ac:dyDescent="0.25">
      <c r="A1523" t="s">
        <v>1711</v>
      </c>
      <c r="B1523" t="s">
        <v>1709</v>
      </c>
      <c r="C1523">
        <v>6</v>
      </c>
      <c r="D1523">
        <v>0</v>
      </c>
      <c r="G1523">
        <v>6</v>
      </c>
      <c r="H1523">
        <v>0</v>
      </c>
      <c r="I1523">
        <f t="shared" si="92"/>
        <v>1</v>
      </c>
      <c r="J1523">
        <f t="shared" si="93"/>
        <v>0</v>
      </c>
      <c r="K1523">
        <f t="shared" si="94"/>
        <v>0</v>
      </c>
      <c r="L1523">
        <f t="shared" si="95"/>
        <v>0</v>
      </c>
    </row>
    <row r="1524" spans="1:12" x14ac:dyDescent="0.25">
      <c r="A1524" t="s">
        <v>1712</v>
      </c>
      <c r="B1524" t="s">
        <v>364</v>
      </c>
      <c r="C1524">
        <v>6</v>
      </c>
      <c r="D1524">
        <v>0</v>
      </c>
      <c r="G1524">
        <v>6</v>
      </c>
      <c r="H1524">
        <v>0</v>
      </c>
      <c r="I1524">
        <f t="shared" si="92"/>
        <v>1</v>
      </c>
      <c r="J1524">
        <f t="shared" si="93"/>
        <v>0</v>
      </c>
      <c r="K1524">
        <f t="shared" si="94"/>
        <v>0</v>
      </c>
      <c r="L1524">
        <f t="shared" si="95"/>
        <v>0</v>
      </c>
    </row>
    <row r="1525" spans="1:12" x14ac:dyDescent="0.25">
      <c r="A1525" t="s">
        <v>1713</v>
      </c>
      <c r="B1525" t="s">
        <v>364</v>
      </c>
      <c r="C1525">
        <v>12</v>
      </c>
      <c r="D1525">
        <v>0</v>
      </c>
      <c r="G1525">
        <v>12</v>
      </c>
      <c r="H1525">
        <v>0</v>
      </c>
      <c r="I1525">
        <f t="shared" si="92"/>
        <v>1</v>
      </c>
      <c r="J1525">
        <f t="shared" si="93"/>
        <v>0</v>
      </c>
      <c r="K1525">
        <f t="shared" si="94"/>
        <v>0</v>
      </c>
      <c r="L1525">
        <f t="shared" si="95"/>
        <v>0</v>
      </c>
    </row>
    <row r="1526" spans="1:12" x14ac:dyDescent="0.25">
      <c r="A1526" t="s">
        <v>1714</v>
      </c>
      <c r="B1526" t="s">
        <v>364</v>
      </c>
      <c r="C1526">
        <v>6</v>
      </c>
      <c r="D1526">
        <v>6</v>
      </c>
      <c r="G1526">
        <v>12</v>
      </c>
      <c r="H1526">
        <v>0</v>
      </c>
      <c r="I1526">
        <f t="shared" si="92"/>
        <v>1</v>
      </c>
      <c r="J1526">
        <f t="shared" si="93"/>
        <v>0</v>
      </c>
      <c r="K1526">
        <f t="shared" si="94"/>
        <v>0</v>
      </c>
      <c r="L1526">
        <f t="shared" si="95"/>
        <v>1</v>
      </c>
    </row>
    <row r="1527" spans="1:12" x14ac:dyDescent="0.25">
      <c r="A1527" t="s">
        <v>1715</v>
      </c>
      <c r="B1527" t="s">
        <v>1716</v>
      </c>
      <c r="C1527">
        <v>6</v>
      </c>
      <c r="D1527">
        <v>6</v>
      </c>
      <c r="G1527">
        <v>12</v>
      </c>
      <c r="H1527">
        <v>0</v>
      </c>
      <c r="I1527">
        <f t="shared" si="92"/>
        <v>1</v>
      </c>
      <c r="J1527">
        <f t="shared" si="93"/>
        <v>0</v>
      </c>
      <c r="K1527">
        <f t="shared" si="94"/>
        <v>0</v>
      </c>
      <c r="L1527">
        <f t="shared" si="95"/>
        <v>1</v>
      </c>
    </row>
    <row r="1528" spans="1:12" x14ac:dyDescent="0.25">
      <c r="A1528" t="s">
        <v>1717</v>
      </c>
      <c r="B1528" t="s">
        <v>1716</v>
      </c>
      <c r="C1528">
        <v>12</v>
      </c>
      <c r="D1528">
        <v>12</v>
      </c>
      <c r="G1528">
        <v>24</v>
      </c>
      <c r="H1528">
        <v>0</v>
      </c>
      <c r="I1528">
        <f t="shared" si="92"/>
        <v>1</v>
      </c>
      <c r="J1528">
        <f t="shared" si="93"/>
        <v>0</v>
      </c>
      <c r="K1528">
        <f t="shared" si="94"/>
        <v>0</v>
      </c>
      <c r="L1528">
        <f t="shared" si="95"/>
        <v>1</v>
      </c>
    </row>
    <row r="1529" spans="1:12" x14ac:dyDescent="0.25">
      <c r="A1529" t="s">
        <v>1718</v>
      </c>
      <c r="B1529" t="s">
        <v>1716</v>
      </c>
      <c r="C1529">
        <v>12</v>
      </c>
      <c r="D1529">
        <v>0</v>
      </c>
      <c r="G1529">
        <v>12</v>
      </c>
      <c r="H1529">
        <v>0</v>
      </c>
      <c r="I1529">
        <f t="shared" si="92"/>
        <v>1</v>
      </c>
      <c r="J1529">
        <f t="shared" si="93"/>
        <v>0</v>
      </c>
      <c r="K1529">
        <f t="shared" si="94"/>
        <v>0</v>
      </c>
      <c r="L1529">
        <f t="shared" si="95"/>
        <v>0</v>
      </c>
    </row>
    <row r="1530" spans="1:12" x14ac:dyDescent="0.25">
      <c r="A1530" t="s">
        <v>1719</v>
      </c>
      <c r="B1530" t="s">
        <v>1720</v>
      </c>
      <c r="C1530">
        <v>2</v>
      </c>
      <c r="D1530">
        <v>8</v>
      </c>
      <c r="G1530">
        <v>10</v>
      </c>
      <c r="H1530">
        <v>0</v>
      </c>
      <c r="I1530">
        <f t="shared" si="92"/>
        <v>1</v>
      </c>
      <c r="J1530">
        <f t="shared" si="93"/>
        <v>0</v>
      </c>
      <c r="K1530">
        <f t="shared" si="94"/>
        <v>0</v>
      </c>
      <c r="L1530">
        <f t="shared" si="95"/>
        <v>1</v>
      </c>
    </row>
    <row r="1531" spans="1:12" x14ac:dyDescent="0.25">
      <c r="A1531" t="s">
        <v>1721</v>
      </c>
      <c r="B1531" t="s">
        <v>366</v>
      </c>
      <c r="C1531">
        <v>6</v>
      </c>
      <c r="D1531">
        <v>12</v>
      </c>
      <c r="G1531">
        <v>18</v>
      </c>
      <c r="H1531">
        <v>0</v>
      </c>
      <c r="I1531">
        <f t="shared" si="92"/>
        <v>1</v>
      </c>
      <c r="J1531">
        <f t="shared" si="93"/>
        <v>0</v>
      </c>
      <c r="K1531">
        <f t="shared" si="94"/>
        <v>0</v>
      </c>
      <c r="L1531">
        <f t="shared" si="95"/>
        <v>1</v>
      </c>
    </row>
    <row r="1532" spans="1:12" x14ac:dyDescent="0.25">
      <c r="A1532" t="s">
        <v>1722</v>
      </c>
      <c r="B1532" t="s">
        <v>366</v>
      </c>
      <c r="C1532">
        <v>12</v>
      </c>
      <c r="D1532">
        <v>0</v>
      </c>
      <c r="G1532">
        <v>12</v>
      </c>
      <c r="H1532">
        <v>0</v>
      </c>
      <c r="I1532">
        <f t="shared" si="92"/>
        <v>1</v>
      </c>
      <c r="J1532">
        <f t="shared" si="93"/>
        <v>0</v>
      </c>
      <c r="K1532">
        <f t="shared" si="94"/>
        <v>0</v>
      </c>
      <c r="L1532">
        <f t="shared" si="95"/>
        <v>0</v>
      </c>
    </row>
    <row r="1533" spans="1:12" x14ac:dyDescent="0.25">
      <c r="A1533" t="s">
        <v>1723</v>
      </c>
      <c r="B1533" t="s">
        <v>368</v>
      </c>
      <c r="C1533">
        <v>6</v>
      </c>
      <c r="D1533">
        <v>12</v>
      </c>
      <c r="G1533">
        <v>18</v>
      </c>
      <c r="H1533">
        <v>0</v>
      </c>
      <c r="I1533">
        <f t="shared" si="92"/>
        <v>1</v>
      </c>
      <c r="J1533">
        <f t="shared" si="93"/>
        <v>0</v>
      </c>
      <c r="K1533">
        <f t="shared" si="94"/>
        <v>0</v>
      </c>
      <c r="L1533">
        <f t="shared" si="95"/>
        <v>1</v>
      </c>
    </row>
    <row r="1534" spans="1:12" x14ac:dyDescent="0.25">
      <c r="A1534" t="s">
        <v>1724</v>
      </c>
      <c r="B1534" t="s">
        <v>368</v>
      </c>
      <c r="C1534">
        <v>6</v>
      </c>
      <c r="D1534">
        <v>0</v>
      </c>
      <c r="G1534">
        <v>6</v>
      </c>
      <c r="H1534">
        <v>0</v>
      </c>
      <c r="I1534">
        <f t="shared" si="92"/>
        <v>1</v>
      </c>
      <c r="J1534">
        <f t="shared" si="93"/>
        <v>0</v>
      </c>
      <c r="K1534">
        <f t="shared" si="94"/>
        <v>0</v>
      </c>
      <c r="L1534">
        <f t="shared" si="95"/>
        <v>0</v>
      </c>
    </row>
    <row r="1535" spans="1:12" x14ac:dyDescent="0.25">
      <c r="A1535" t="s">
        <v>1725</v>
      </c>
      <c r="B1535" t="s">
        <v>368</v>
      </c>
      <c r="C1535">
        <v>8</v>
      </c>
      <c r="D1535">
        <v>12</v>
      </c>
      <c r="G1535">
        <v>20</v>
      </c>
      <c r="H1535">
        <v>0</v>
      </c>
      <c r="I1535">
        <f t="shared" si="92"/>
        <v>1</v>
      </c>
      <c r="J1535">
        <f t="shared" si="93"/>
        <v>0</v>
      </c>
      <c r="K1535">
        <f t="shared" si="94"/>
        <v>0</v>
      </c>
      <c r="L1535">
        <f t="shared" si="95"/>
        <v>1</v>
      </c>
    </row>
    <row r="1536" spans="1:12" x14ac:dyDescent="0.25">
      <c r="A1536" t="s">
        <v>1726</v>
      </c>
      <c r="B1536" t="s">
        <v>368</v>
      </c>
      <c r="C1536">
        <v>6</v>
      </c>
      <c r="D1536">
        <v>12</v>
      </c>
      <c r="G1536">
        <v>18</v>
      </c>
      <c r="H1536">
        <v>0</v>
      </c>
      <c r="I1536">
        <f t="shared" si="92"/>
        <v>1</v>
      </c>
      <c r="J1536">
        <f t="shared" si="93"/>
        <v>0</v>
      </c>
      <c r="K1536">
        <f t="shared" si="94"/>
        <v>0</v>
      </c>
      <c r="L1536">
        <f t="shared" si="95"/>
        <v>1</v>
      </c>
    </row>
    <row r="1537" spans="1:12" x14ac:dyDescent="0.25">
      <c r="A1537" t="s">
        <v>1727</v>
      </c>
      <c r="B1537" t="s">
        <v>368</v>
      </c>
      <c r="C1537">
        <v>6</v>
      </c>
      <c r="D1537">
        <v>0</v>
      </c>
      <c r="G1537">
        <v>6</v>
      </c>
      <c r="H1537">
        <v>0</v>
      </c>
      <c r="I1537">
        <f t="shared" si="92"/>
        <v>1</v>
      </c>
      <c r="J1537">
        <f t="shared" si="93"/>
        <v>0</v>
      </c>
      <c r="K1537">
        <f t="shared" si="94"/>
        <v>0</v>
      </c>
      <c r="L1537">
        <f t="shared" si="95"/>
        <v>0</v>
      </c>
    </row>
    <row r="1538" spans="1:12" x14ac:dyDescent="0.25">
      <c r="A1538" t="s">
        <v>1728</v>
      </c>
      <c r="B1538" t="s">
        <v>9</v>
      </c>
      <c r="C1538">
        <v>1</v>
      </c>
      <c r="G1538">
        <v>1</v>
      </c>
      <c r="H1538">
        <v>0</v>
      </c>
      <c r="I1538">
        <f t="shared" si="92"/>
        <v>1</v>
      </c>
      <c r="J1538">
        <f t="shared" si="93"/>
        <v>0</v>
      </c>
      <c r="K1538">
        <f t="shared" si="94"/>
        <v>0</v>
      </c>
      <c r="L1538">
        <f t="shared" si="95"/>
        <v>0</v>
      </c>
    </row>
    <row r="1539" spans="1:12" x14ac:dyDescent="0.25">
      <c r="A1539" t="s">
        <v>1729</v>
      </c>
      <c r="B1539" t="s">
        <v>9</v>
      </c>
      <c r="C1539">
        <v>2</v>
      </c>
      <c r="G1539">
        <v>2</v>
      </c>
      <c r="H1539">
        <v>0</v>
      </c>
      <c r="I1539">
        <f t="shared" ref="I1539:I1602" si="96">IF(C1539&gt;0, 1, 0)</f>
        <v>1</v>
      </c>
      <c r="J1539">
        <f t="shared" ref="J1539:J1602" si="97">IF(E1539&gt;0, 1,0)</f>
        <v>0</v>
      </c>
      <c r="K1539">
        <f t="shared" ref="K1539:K1602" si="98">IF(F1539&gt;0, 1, 0)</f>
        <v>0</v>
      </c>
      <c r="L1539">
        <f t="shared" ref="L1539:L1602" si="99">IF(D1539&gt;0, 1, 0)</f>
        <v>0</v>
      </c>
    </row>
    <row r="1540" spans="1:12" x14ac:dyDescent="0.25">
      <c r="A1540" t="s">
        <v>1730</v>
      </c>
      <c r="B1540" t="s">
        <v>9</v>
      </c>
      <c r="C1540">
        <v>1</v>
      </c>
      <c r="G1540">
        <v>1</v>
      </c>
      <c r="H1540">
        <v>0</v>
      </c>
      <c r="I1540">
        <f t="shared" si="96"/>
        <v>1</v>
      </c>
      <c r="J1540">
        <f t="shared" si="97"/>
        <v>0</v>
      </c>
      <c r="K1540">
        <f t="shared" si="98"/>
        <v>0</v>
      </c>
      <c r="L1540">
        <f t="shared" si="99"/>
        <v>0</v>
      </c>
    </row>
    <row r="1541" spans="1:12" x14ac:dyDescent="0.25">
      <c r="A1541" t="s">
        <v>1731</v>
      </c>
      <c r="B1541" t="s">
        <v>452</v>
      </c>
      <c r="C1541">
        <v>0</v>
      </c>
      <c r="G1541">
        <v>0</v>
      </c>
      <c r="H1541">
        <v>0</v>
      </c>
      <c r="I1541">
        <f t="shared" si="96"/>
        <v>0</v>
      </c>
      <c r="J1541">
        <f t="shared" si="97"/>
        <v>0</v>
      </c>
      <c r="K1541">
        <f t="shared" si="98"/>
        <v>0</v>
      </c>
      <c r="L1541">
        <f t="shared" si="99"/>
        <v>0</v>
      </c>
    </row>
    <row r="1542" spans="1:12" x14ac:dyDescent="0.25">
      <c r="A1542" t="s">
        <v>1732</v>
      </c>
      <c r="B1542" t="s">
        <v>16</v>
      </c>
      <c r="C1542">
        <v>2</v>
      </c>
      <c r="G1542">
        <v>2</v>
      </c>
      <c r="H1542">
        <v>0</v>
      </c>
      <c r="I1542">
        <f t="shared" si="96"/>
        <v>1</v>
      </c>
      <c r="J1542">
        <f t="shared" si="97"/>
        <v>0</v>
      </c>
      <c r="K1542">
        <f t="shared" si="98"/>
        <v>0</v>
      </c>
      <c r="L1542">
        <f t="shared" si="99"/>
        <v>0</v>
      </c>
    </row>
    <row r="1543" spans="1:12" x14ac:dyDescent="0.25">
      <c r="A1543" t="s">
        <v>1733</v>
      </c>
      <c r="B1543" t="s">
        <v>16</v>
      </c>
      <c r="C1543">
        <v>0</v>
      </c>
      <c r="G1543">
        <v>0</v>
      </c>
      <c r="H1543">
        <v>0</v>
      </c>
      <c r="I1543">
        <f t="shared" si="96"/>
        <v>0</v>
      </c>
      <c r="J1543">
        <f t="shared" si="97"/>
        <v>0</v>
      </c>
      <c r="K1543">
        <f t="shared" si="98"/>
        <v>0</v>
      </c>
      <c r="L1543">
        <f t="shared" si="99"/>
        <v>0</v>
      </c>
    </row>
    <row r="1544" spans="1:12" x14ac:dyDescent="0.25">
      <c r="A1544" t="s">
        <v>1734</v>
      </c>
      <c r="B1544" t="s">
        <v>111</v>
      </c>
      <c r="C1544">
        <v>40</v>
      </c>
      <c r="G1544">
        <v>40</v>
      </c>
      <c r="H1544">
        <v>0</v>
      </c>
      <c r="I1544">
        <f t="shared" si="96"/>
        <v>1</v>
      </c>
      <c r="J1544">
        <f t="shared" si="97"/>
        <v>0</v>
      </c>
      <c r="K1544">
        <f t="shared" si="98"/>
        <v>0</v>
      </c>
      <c r="L1544">
        <f t="shared" si="99"/>
        <v>0</v>
      </c>
    </row>
    <row r="1545" spans="1:12" x14ac:dyDescent="0.25">
      <c r="A1545" t="s">
        <v>1735</v>
      </c>
      <c r="B1545" t="s">
        <v>127</v>
      </c>
      <c r="C1545">
        <v>52</v>
      </c>
      <c r="G1545">
        <v>52</v>
      </c>
      <c r="H1545">
        <v>0</v>
      </c>
      <c r="I1545">
        <f t="shared" si="96"/>
        <v>1</v>
      </c>
      <c r="J1545">
        <f t="shared" si="97"/>
        <v>0</v>
      </c>
      <c r="K1545">
        <f t="shared" si="98"/>
        <v>0</v>
      </c>
      <c r="L1545">
        <f t="shared" si="99"/>
        <v>0</v>
      </c>
    </row>
    <row r="1546" spans="1:12" x14ac:dyDescent="0.25">
      <c r="A1546" t="s">
        <v>1736</v>
      </c>
      <c r="B1546" t="s">
        <v>127</v>
      </c>
      <c r="C1546">
        <v>12</v>
      </c>
      <c r="G1546">
        <v>12</v>
      </c>
      <c r="H1546">
        <v>0</v>
      </c>
      <c r="I1546">
        <f t="shared" si="96"/>
        <v>1</v>
      </c>
      <c r="J1546">
        <f t="shared" si="97"/>
        <v>0</v>
      </c>
      <c r="K1546">
        <f t="shared" si="98"/>
        <v>0</v>
      </c>
      <c r="L1546">
        <f t="shared" si="99"/>
        <v>0</v>
      </c>
    </row>
    <row r="1547" spans="1:12" x14ac:dyDescent="0.25">
      <c r="A1547" t="s">
        <v>1737</v>
      </c>
      <c r="B1547" t="s">
        <v>26</v>
      </c>
      <c r="C1547">
        <v>12.5</v>
      </c>
      <c r="G1547">
        <v>12.5</v>
      </c>
      <c r="H1547">
        <v>0</v>
      </c>
      <c r="I1547">
        <f t="shared" si="96"/>
        <v>1</v>
      </c>
      <c r="J1547">
        <f t="shared" si="97"/>
        <v>0</v>
      </c>
      <c r="K1547">
        <f t="shared" si="98"/>
        <v>0</v>
      </c>
      <c r="L1547">
        <f t="shared" si="99"/>
        <v>0</v>
      </c>
    </row>
    <row r="1548" spans="1:12" x14ac:dyDescent="0.25">
      <c r="A1548" t="s">
        <v>1738</v>
      </c>
      <c r="B1548" t="s">
        <v>673</v>
      </c>
      <c r="C1548">
        <v>0</v>
      </c>
      <c r="G1548">
        <v>0</v>
      </c>
      <c r="H1548">
        <v>0</v>
      </c>
      <c r="I1548">
        <f t="shared" si="96"/>
        <v>0</v>
      </c>
      <c r="J1548">
        <f t="shared" si="97"/>
        <v>0</v>
      </c>
      <c r="K1548">
        <f t="shared" si="98"/>
        <v>0</v>
      </c>
      <c r="L1548">
        <f t="shared" si="99"/>
        <v>0</v>
      </c>
    </row>
    <row r="1549" spans="1:12" x14ac:dyDescent="0.25">
      <c r="A1549" t="s">
        <v>1739</v>
      </c>
      <c r="B1549" t="s">
        <v>692</v>
      </c>
      <c r="C1549">
        <v>1</v>
      </c>
      <c r="G1549">
        <v>1</v>
      </c>
      <c r="H1549">
        <v>0</v>
      </c>
      <c r="I1549">
        <f t="shared" si="96"/>
        <v>1</v>
      </c>
      <c r="J1549">
        <f t="shared" si="97"/>
        <v>0</v>
      </c>
      <c r="K1549">
        <f t="shared" si="98"/>
        <v>0</v>
      </c>
      <c r="L1549">
        <f t="shared" si="99"/>
        <v>0</v>
      </c>
    </row>
    <row r="1550" spans="1:12" x14ac:dyDescent="0.25">
      <c r="A1550" t="s">
        <v>1740</v>
      </c>
      <c r="B1550" t="s">
        <v>31</v>
      </c>
      <c r="C1550">
        <v>16</v>
      </c>
      <c r="G1550">
        <v>16</v>
      </c>
      <c r="H1550">
        <v>0</v>
      </c>
      <c r="I1550">
        <f t="shared" si="96"/>
        <v>1</v>
      </c>
      <c r="J1550">
        <f t="shared" si="97"/>
        <v>0</v>
      </c>
      <c r="K1550">
        <f t="shared" si="98"/>
        <v>0</v>
      </c>
      <c r="L1550">
        <f t="shared" si="99"/>
        <v>0</v>
      </c>
    </row>
    <row r="1551" spans="1:12" x14ac:dyDescent="0.25">
      <c r="A1551" t="s">
        <v>1741</v>
      </c>
      <c r="B1551" t="s">
        <v>31</v>
      </c>
      <c r="C1551">
        <v>16</v>
      </c>
      <c r="G1551">
        <v>16</v>
      </c>
      <c r="H1551">
        <v>0</v>
      </c>
      <c r="I1551">
        <f t="shared" si="96"/>
        <v>1</v>
      </c>
      <c r="J1551">
        <f t="shared" si="97"/>
        <v>0</v>
      </c>
      <c r="K1551">
        <f t="shared" si="98"/>
        <v>0</v>
      </c>
      <c r="L1551">
        <f t="shared" si="99"/>
        <v>0</v>
      </c>
    </row>
    <row r="1552" spans="1:12" x14ac:dyDescent="0.25">
      <c r="A1552" t="s">
        <v>1742</v>
      </c>
      <c r="B1552" t="s">
        <v>148</v>
      </c>
      <c r="C1552">
        <v>26</v>
      </c>
      <c r="G1552">
        <v>26</v>
      </c>
      <c r="H1552">
        <v>0</v>
      </c>
      <c r="I1552">
        <f t="shared" si="96"/>
        <v>1</v>
      </c>
      <c r="J1552">
        <f t="shared" si="97"/>
        <v>0</v>
      </c>
      <c r="K1552">
        <f t="shared" si="98"/>
        <v>0</v>
      </c>
      <c r="L1552">
        <f t="shared" si="99"/>
        <v>0</v>
      </c>
    </row>
    <row r="1553" spans="1:12" x14ac:dyDescent="0.25">
      <c r="A1553" t="s">
        <v>1743</v>
      </c>
      <c r="B1553" t="s">
        <v>42</v>
      </c>
      <c r="C1553">
        <v>12</v>
      </c>
      <c r="G1553">
        <v>12</v>
      </c>
      <c r="H1553">
        <v>0</v>
      </c>
      <c r="I1553">
        <f t="shared" si="96"/>
        <v>1</v>
      </c>
      <c r="J1553">
        <f t="shared" si="97"/>
        <v>0</v>
      </c>
      <c r="K1553">
        <f t="shared" si="98"/>
        <v>0</v>
      </c>
      <c r="L1553">
        <f t="shared" si="99"/>
        <v>0</v>
      </c>
    </row>
    <row r="1554" spans="1:12" x14ac:dyDescent="0.25">
      <c r="A1554" t="s">
        <v>1744</v>
      </c>
      <c r="B1554" t="s">
        <v>42</v>
      </c>
      <c r="C1554">
        <v>0</v>
      </c>
      <c r="G1554">
        <v>0</v>
      </c>
      <c r="H1554">
        <v>0</v>
      </c>
      <c r="I1554">
        <f t="shared" si="96"/>
        <v>0</v>
      </c>
      <c r="J1554">
        <f t="shared" si="97"/>
        <v>0</v>
      </c>
      <c r="K1554">
        <f t="shared" si="98"/>
        <v>0</v>
      </c>
      <c r="L1554">
        <f t="shared" si="99"/>
        <v>0</v>
      </c>
    </row>
    <row r="1555" spans="1:12" x14ac:dyDescent="0.25">
      <c r="A1555" t="s">
        <v>1745</v>
      </c>
      <c r="B1555" t="s">
        <v>42</v>
      </c>
      <c r="C1555">
        <v>0</v>
      </c>
      <c r="G1555">
        <v>0</v>
      </c>
      <c r="H1555">
        <v>0</v>
      </c>
      <c r="I1555">
        <f t="shared" si="96"/>
        <v>0</v>
      </c>
      <c r="J1555">
        <f t="shared" si="97"/>
        <v>0</v>
      </c>
      <c r="K1555">
        <f t="shared" si="98"/>
        <v>0</v>
      </c>
      <c r="L1555">
        <f t="shared" si="99"/>
        <v>0</v>
      </c>
    </row>
    <row r="1556" spans="1:12" x14ac:dyDescent="0.25">
      <c r="A1556" t="s">
        <v>1746</v>
      </c>
      <c r="B1556" t="s">
        <v>42</v>
      </c>
      <c r="C1556">
        <v>2</v>
      </c>
      <c r="G1556">
        <v>2</v>
      </c>
      <c r="H1556">
        <v>0</v>
      </c>
      <c r="I1556">
        <f t="shared" si="96"/>
        <v>1</v>
      </c>
      <c r="J1556">
        <f t="shared" si="97"/>
        <v>0</v>
      </c>
      <c r="K1556">
        <f t="shared" si="98"/>
        <v>0</v>
      </c>
      <c r="L1556">
        <f t="shared" si="99"/>
        <v>0</v>
      </c>
    </row>
    <row r="1557" spans="1:12" x14ac:dyDescent="0.25">
      <c r="A1557" t="s">
        <v>1747</v>
      </c>
      <c r="B1557" t="s">
        <v>42</v>
      </c>
      <c r="C1557">
        <v>0</v>
      </c>
      <c r="G1557">
        <v>0</v>
      </c>
      <c r="H1557">
        <v>0</v>
      </c>
      <c r="I1557">
        <f t="shared" si="96"/>
        <v>0</v>
      </c>
      <c r="J1557">
        <f t="shared" si="97"/>
        <v>0</v>
      </c>
      <c r="K1557">
        <f t="shared" si="98"/>
        <v>0</v>
      </c>
      <c r="L1557">
        <f t="shared" si="99"/>
        <v>0</v>
      </c>
    </row>
    <row r="1558" spans="1:12" x14ac:dyDescent="0.25">
      <c r="A1558" t="s">
        <v>1748</v>
      </c>
      <c r="B1558" t="s">
        <v>185</v>
      </c>
      <c r="C1558">
        <v>0</v>
      </c>
      <c r="G1558">
        <v>0</v>
      </c>
      <c r="H1558">
        <v>0</v>
      </c>
      <c r="I1558">
        <f t="shared" si="96"/>
        <v>0</v>
      </c>
      <c r="J1558">
        <f t="shared" si="97"/>
        <v>0</v>
      </c>
      <c r="K1558">
        <f t="shared" si="98"/>
        <v>0</v>
      </c>
      <c r="L1558">
        <f t="shared" si="99"/>
        <v>0</v>
      </c>
    </row>
    <row r="1559" spans="1:12" x14ac:dyDescent="0.25">
      <c r="A1559" t="s">
        <v>1749</v>
      </c>
      <c r="B1559" t="s">
        <v>191</v>
      </c>
      <c r="C1559">
        <v>50</v>
      </c>
      <c r="G1559">
        <v>50</v>
      </c>
      <c r="H1559">
        <v>0</v>
      </c>
      <c r="I1559">
        <f t="shared" si="96"/>
        <v>1</v>
      </c>
      <c r="J1559">
        <f t="shared" si="97"/>
        <v>0</v>
      </c>
      <c r="K1559">
        <f t="shared" si="98"/>
        <v>0</v>
      </c>
      <c r="L1559">
        <f t="shared" si="99"/>
        <v>0</v>
      </c>
    </row>
    <row r="1560" spans="1:12" x14ac:dyDescent="0.25">
      <c r="A1560" t="s">
        <v>1750</v>
      </c>
      <c r="B1560" t="s">
        <v>194</v>
      </c>
      <c r="C1560">
        <v>6</v>
      </c>
      <c r="G1560">
        <v>6</v>
      </c>
      <c r="H1560">
        <v>0</v>
      </c>
      <c r="I1560">
        <f t="shared" si="96"/>
        <v>1</v>
      </c>
      <c r="J1560">
        <f t="shared" si="97"/>
        <v>0</v>
      </c>
      <c r="K1560">
        <f t="shared" si="98"/>
        <v>0</v>
      </c>
      <c r="L1560">
        <f t="shared" si="99"/>
        <v>0</v>
      </c>
    </row>
    <row r="1561" spans="1:12" x14ac:dyDescent="0.25">
      <c r="A1561" t="s">
        <v>1751</v>
      </c>
      <c r="B1561" t="s">
        <v>194</v>
      </c>
      <c r="C1561">
        <v>40</v>
      </c>
      <c r="G1561">
        <v>40</v>
      </c>
      <c r="H1561">
        <v>0</v>
      </c>
      <c r="I1561">
        <f t="shared" si="96"/>
        <v>1</v>
      </c>
      <c r="J1561">
        <f t="shared" si="97"/>
        <v>0</v>
      </c>
      <c r="K1561">
        <f t="shared" si="98"/>
        <v>0</v>
      </c>
      <c r="L1561">
        <f t="shared" si="99"/>
        <v>0</v>
      </c>
    </row>
    <row r="1562" spans="1:12" x14ac:dyDescent="0.25">
      <c r="A1562" t="s">
        <v>1752</v>
      </c>
      <c r="B1562" t="s">
        <v>199</v>
      </c>
      <c r="C1562">
        <v>12</v>
      </c>
      <c r="G1562">
        <v>12</v>
      </c>
      <c r="H1562">
        <v>0</v>
      </c>
      <c r="I1562">
        <f t="shared" si="96"/>
        <v>1</v>
      </c>
      <c r="J1562">
        <f t="shared" si="97"/>
        <v>0</v>
      </c>
      <c r="K1562">
        <f t="shared" si="98"/>
        <v>0</v>
      </c>
      <c r="L1562">
        <f t="shared" si="99"/>
        <v>0</v>
      </c>
    </row>
    <row r="1563" spans="1:12" x14ac:dyDescent="0.25">
      <c r="A1563" t="s">
        <v>1753</v>
      </c>
      <c r="B1563" t="s">
        <v>201</v>
      </c>
      <c r="C1563">
        <v>0</v>
      </c>
      <c r="G1563">
        <v>0</v>
      </c>
      <c r="H1563">
        <v>0</v>
      </c>
      <c r="I1563">
        <f t="shared" si="96"/>
        <v>0</v>
      </c>
      <c r="J1563">
        <f t="shared" si="97"/>
        <v>0</v>
      </c>
      <c r="K1563">
        <f t="shared" si="98"/>
        <v>0</v>
      </c>
      <c r="L1563">
        <f t="shared" si="99"/>
        <v>0</v>
      </c>
    </row>
    <row r="1564" spans="1:12" x14ac:dyDescent="0.25">
      <c r="A1564" t="s">
        <v>1754</v>
      </c>
      <c r="B1564" t="s">
        <v>201</v>
      </c>
      <c r="C1564">
        <v>12</v>
      </c>
      <c r="G1564">
        <v>12</v>
      </c>
      <c r="H1564">
        <v>0</v>
      </c>
      <c r="I1564">
        <f t="shared" si="96"/>
        <v>1</v>
      </c>
      <c r="J1564">
        <f t="shared" si="97"/>
        <v>0</v>
      </c>
      <c r="K1564">
        <f t="shared" si="98"/>
        <v>0</v>
      </c>
      <c r="L1564">
        <f t="shared" si="99"/>
        <v>0</v>
      </c>
    </row>
    <row r="1565" spans="1:12" x14ac:dyDescent="0.25">
      <c r="A1565" t="s">
        <v>1755</v>
      </c>
      <c r="B1565" t="s">
        <v>44</v>
      </c>
      <c r="C1565">
        <v>50</v>
      </c>
      <c r="G1565">
        <v>50</v>
      </c>
      <c r="H1565">
        <v>0</v>
      </c>
      <c r="I1565">
        <f t="shared" si="96"/>
        <v>1</v>
      </c>
      <c r="J1565">
        <f t="shared" si="97"/>
        <v>0</v>
      </c>
      <c r="K1565">
        <f t="shared" si="98"/>
        <v>0</v>
      </c>
      <c r="L1565">
        <f t="shared" si="99"/>
        <v>0</v>
      </c>
    </row>
    <row r="1566" spans="1:12" x14ac:dyDescent="0.25">
      <c r="A1566" t="s">
        <v>1756</v>
      </c>
      <c r="B1566" t="s">
        <v>220</v>
      </c>
      <c r="C1566">
        <v>8</v>
      </c>
      <c r="G1566">
        <v>8</v>
      </c>
      <c r="H1566">
        <v>0</v>
      </c>
      <c r="I1566">
        <f t="shared" si="96"/>
        <v>1</v>
      </c>
      <c r="J1566">
        <f t="shared" si="97"/>
        <v>0</v>
      </c>
      <c r="K1566">
        <f t="shared" si="98"/>
        <v>0</v>
      </c>
      <c r="L1566">
        <f t="shared" si="99"/>
        <v>0</v>
      </c>
    </row>
    <row r="1567" spans="1:12" x14ac:dyDescent="0.25">
      <c r="A1567" t="s">
        <v>1757</v>
      </c>
      <c r="B1567" t="s">
        <v>220</v>
      </c>
      <c r="C1567">
        <v>0</v>
      </c>
      <c r="G1567">
        <v>0</v>
      </c>
      <c r="H1567">
        <v>0</v>
      </c>
      <c r="I1567">
        <f t="shared" si="96"/>
        <v>0</v>
      </c>
      <c r="J1567">
        <f t="shared" si="97"/>
        <v>0</v>
      </c>
      <c r="K1567">
        <f t="shared" si="98"/>
        <v>0</v>
      </c>
      <c r="L1567">
        <f t="shared" si="99"/>
        <v>0</v>
      </c>
    </row>
    <row r="1568" spans="1:12" x14ac:dyDescent="0.25">
      <c r="A1568" t="s">
        <v>1758</v>
      </c>
      <c r="B1568" t="s">
        <v>220</v>
      </c>
      <c r="C1568">
        <v>16</v>
      </c>
      <c r="G1568">
        <v>16</v>
      </c>
      <c r="H1568">
        <v>0</v>
      </c>
      <c r="I1568">
        <f t="shared" si="96"/>
        <v>1</v>
      </c>
      <c r="J1568">
        <f t="shared" si="97"/>
        <v>0</v>
      </c>
      <c r="K1568">
        <f t="shared" si="98"/>
        <v>0</v>
      </c>
      <c r="L1568">
        <f t="shared" si="99"/>
        <v>0</v>
      </c>
    </row>
    <row r="1569" spans="1:12" x14ac:dyDescent="0.25">
      <c r="A1569" t="s">
        <v>1759</v>
      </c>
      <c r="B1569" t="s">
        <v>224</v>
      </c>
      <c r="C1569">
        <v>8</v>
      </c>
      <c r="G1569">
        <v>8</v>
      </c>
      <c r="H1569">
        <v>0</v>
      </c>
      <c r="I1569">
        <f t="shared" si="96"/>
        <v>1</v>
      </c>
      <c r="J1569">
        <f t="shared" si="97"/>
        <v>0</v>
      </c>
      <c r="K1569">
        <f t="shared" si="98"/>
        <v>0</v>
      </c>
      <c r="L1569">
        <f t="shared" si="99"/>
        <v>0</v>
      </c>
    </row>
    <row r="1570" spans="1:12" x14ac:dyDescent="0.25">
      <c r="A1570" t="s">
        <v>1760</v>
      </c>
      <c r="B1570" t="s">
        <v>46</v>
      </c>
      <c r="C1570">
        <v>6</v>
      </c>
      <c r="G1570">
        <v>6</v>
      </c>
      <c r="H1570">
        <v>0</v>
      </c>
      <c r="I1570">
        <f t="shared" si="96"/>
        <v>1</v>
      </c>
      <c r="J1570">
        <f t="shared" si="97"/>
        <v>0</v>
      </c>
      <c r="K1570">
        <f t="shared" si="98"/>
        <v>0</v>
      </c>
      <c r="L1570">
        <f t="shared" si="99"/>
        <v>0</v>
      </c>
    </row>
    <row r="1571" spans="1:12" x14ac:dyDescent="0.25">
      <c r="A1571" t="s">
        <v>1761</v>
      </c>
      <c r="B1571" t="s">
        <v>233</v>
      </c>
      <c r="C1571">
        <v>1</v>
      </c>
      <c r="G1571">
        <v>1</v>
      </c>
      <c r="H1571">
        <v>0</v>
      </c>
      <c r="I1571">
        <f t="shared" si="96"/>
        <v>1</v>
      </c>
      <c r="J1571">
        <f t="shared" si="97"/>
        <v>0</v>
      </c>
      <c r="K1571">
        <f t="shared" si="98"/>
        <v>0</v>
      </c>
      <c r="L1571">
        <f t="shared" si="99"/>
        <v>0</v>
      </c>
    </row>
    <row r="1572" spans="1:12" x14ac:dyDescent="0.25">
      <c r="A1572" t="s">
        <v>1762</v>
      </c>
      <c r="B1572" t="s">
        <v>1763</v>
      </c>
      <c r="C1572">
        <v>14</v>
      </c>
      <c r="G1572">
        <v>14</v>
      </c>
      <c r="H1572">
        <v>0</v>
      </c>
      <c r="I1572">
        <f t="shared" si="96"/>
        <v>1</v>
      </c>
      <c r="J1572">
        <f t="shared" si="97"/>
        <v>0</v>
      </c>
      <c r="K1572">
        <f t="shared" si="98"/>
        <v>0</v>
      </c>
      <c r="L1572">
        <f t="shared" si="99"/>
        <v>0</v>
      </c>
    </row>
    <row r="1573" spans="1:12" x14ac:dyDescent="0.25">
      <c r="A1573" t="s">
        <v>1764</v>
      </c>
      <c r="B1573" t="s">
        <v>246</v>
      </c>
      <c r="C1573">
        <v>18</v>
      </c>
      <c r="G1573">
        <v>18</v>
      </c>
      <c r="H1573">
        <v>0</v>
      </c>
      <c r="I1573">
        <f t="shared" si="96"/>
        <v>1</v>
      </c>
      <c r="J1573">
        <f t="shared" si="97"/>
        <v>0</v>
      </c>
      <c r="K1573">
        <f t="shared" si="98"/>
        <v>0</v>
      </c>
      <c r="L1573">
        <f t="shared" si="99"/>
        <v>0</v>
      </c>
    </row>
    <row r="1574" spans="1:12" x14ac:dyDescent="0.25">
      <c r="A1574" t="s">
        <v>1765</v>
      </c>
      <c r="B1574" t="s">
        <v>50</v>
      </c>
      <c r="C1574">
        <v>6</v>
      </c>
      <c r="G1574">
        <v>6</v>
      </c>
      <c r="H1574">
        <v>0</v>
      </c>
      <c r="I1574">
        <f t="shared" si="96"/>
        <v>1</v>
      </c>
      <c r="J1574">
        <f t="shared" si="97"/>
        <v>0</v>
      </c>
      <c r="K1574">
        <f t="shared" si="98"/>
        <v>0</v>
      </c>
      <c r="L1574">
        <f t="shared" si="99"/>
        <v>0</v>
      </c>
    </row>
    <row r="1575" spans="1:12" x14ac:dyDescent="0.25">
      <c r="A1575" t="s">
        <v>1766</v>
      </c>
      <c r="B1575" t="s">
        <v>50</v>
      </c>
      <c r="C1575">
        <v>30</v>
      </c>
      <c r="G1575">
        <v>30</v>
      </c>
      <c r="H1575">
        <v>0</v>
      </c>
      <c r="I1575">
        <f t="shared" si="96"/>
        <v>1</v>
      </c>
      <c r="J1575">
        <f t="shared" si="97"/>
        <v>0</v>
      </c>
      <c r="K1575">
        <f t="shared" si="98"/>
        <v>0</v>
      </c>
      <c r="L1575">
        <f t="shared" si="99"/>
        <v>0</v>
      </c>
    </row>
    <row r="1576" spans="1:12" x14ac:dyDescent="0.25">
      <c r="A1576" t="s">
        <v>1767</v>
      </c>
      <c r="B1576" t="s">
        <v>256</v>
      </c>
      <c r="C1576">
        <v>16</v>
      </c>
      <c r="G1576">
        <v>16</v>
      </c>
      <c r="H1576">
        <v>0</v>
      </c>
      <c r="I1576">
        <f t="shared" si="96"/>
        <v>1</v>
      </c>
      <c r="J1576">
        <f t="shared" si="97"/>
        <v>0</v>
      </c>
      <c r="K1576">
        <f t="shared" si="98"/>
        <v>0</v>
      </c>
      <c r="L1576">
        <f t="shared" si="99"/>
        <v>0</v>
      </c>
    </row>
    <row r="1577" spans="1:12" x14ac:dyDescent="0.25">
      <c r="A1577" t="s">
        <v>1768</v>
      </c>
      <c r="B1577" t="s">
        <v>1213</v>
      </c>
      <c r="C1577">
        <v>8</v>
      </c>
      <c r="G1577">
        <v>8</v>
      </c>
      <c r="H1577">
        <v>0</v>
      </c>
      <c r="I1577">
        <f t="shared" si="96"/>
        <v>1</v>
      </c>
      <c r="J1577">
        <f t="shared" si="97"/>
        <v>0</v>
      </c>
      <c r="K1577">
        <f t="shared" si="98"/>
        <v>0</v>
      </c>
      <c r="L1577">
        <f t="shared" si="99"/>
        <v>0</v>
      </c>
    </row>
    <row r="1578" spans="1:12" x14ac:dyDescent="0.25">
      <c r="A1578" t="s">
        <v>1769</v>
      </c>
      <c r="B1578" t="s">
        <v>1213</v>
      </c>
      <c r="C1578">
        <v>2</v>
      </c>
      <c r="G1578">
        <v>2</v>
      </c>
      <c r="H1578">
        <v>0</v>
      </c>
      <c r="I1578">
        <f t="shared" si="96"/>
        <v>1</v>
      </c>
      <c r="J1578">
        <f t="shared" si="97"/>
        <v>0</v>
      </c>
      <c r="K1578">
        <f t="shared" si="98"/>
        <v>0</v>
      </c>
      <c r="L1578">
        <f t="shared" si="99"/>
        <v>0</v>
      </c>
    </row>
    <row r="1579" spans="1:12" x14ac:dyDescent="0.25">
      <c r="A1579" t="s">
        <v>1770</v>
      </c>
      <c r="B1579" t="s">
        <v>1275</v>
      </c>
      <c r="C1579">
        <v>12</v>
      </c>
      <c r="G1579">
        <v>12</v>
      </c>
      <c r="H1579">
        <v>0</v>
      </c>
      <c r="I1579">
        <f t="shared" si="96"/>
        <v>1</v>
      </c>
      <c r="J1579">
        <f t="shared" si="97"/>
        <v>0</v>
      </c>
      <c r="K1579">
        <f t="shared" si="98"/>
        <v>0</v>
      </c>
      <c r="L1579">
        <f t="shared" si="99"/>
        <v>0</v>
      </c>
    </row>
    <row r="1580" spans="1:12" x14ac:dyDescent="0.25">
      <c r="A1580" t="s">
        <v>1771</v>
      </c>
      <c r="B1580" t="s">
        <v>1275</v>
      </c>
      <c r="C1580">
        <v>0</v>
      </c>
      <c r="G1580">
        <v>0</v>
      </c>
      <c r="H1580">
        <v>0</v>
      </c>
      <c r="I1580">
        <f t="shared" si="96"/>
        <v>0</v>
      </c>
      <c r="J1580">
        <f t="shared" si="97"/>
        <v>0</v>
      </c>
      <c r="K1580">
        <f t="shared" si="98"/>
        <v>0</v>
      </c>
      <c r="L1580">
        <f t="shared" si="99"/>
        <v>0</v>
      </c>
    </row>
    <row r="1581" spans="1:12" x14ac:dyDescent="0.25">
      <c r="A1581" t="s">
        <v>1772</v>
      </c>
      <c r="B1581" t="s">
        <v>54</v>
      </c>
      <c r="C1581">
        <v>8</v>
      </c>
      <c r="G1581">
        <v>8</v>
      </c>
      <c r="H1581">
        <v>0</v>
      </c>
      <c r="I1581">
        <f t="shared" si="96"/>
        <v>1</v>
      </c>
      <c r="J1581">
        <f t="shared" si="97"/>
        <v>0</v>
      </c>
      <c r="K1581">
        <f t="shared" si="98"/>
        <v>0</v>
      </c>
      <c r="L1581">
        <f t="shared" si="99"/>
        <v>0</v>
      </c>
    </row>
    <row r="1582" spans="1:12" x14ac:dyDescent="0.25">
      <c r="A1582" t="s">
        <v>1773</v>
      </c>
      <c r="B1582" t="s">
        <v>60</v>
      </c>
      <c r="C1582">
        <v>7</v>
      </c>
      <c r="G1582">
        <v>7</v>
      </c>
      <c r="H1582">
        <v>0</v>
      </c>
      <c r="I1582">
        <f t="shared" si="96"/>
        <v>1</v>
      </c>
      <c r="J1582">
        <f t="shared" si="97"/>
        <v>0</v>
      </c>
      <c r="K1582">
        <f t="shared" si="98"/>
        <v>0</v>
      </c>
      <c r="L1582">
        <f t="shared" si="99"/>
        <v>0</v>
      </c>
    </row>
    <row r="1583" spans="1:12" x14ac:dyDescent="0.25">
      <c r="A1583" t="s">
        <v>1774</v>
      </c>
      <c r="B1583" t="s">
        <v>1334</v>
      </c>
      <c r="C1583">
        <v>0</v>
      </c>
      <c r="G1583">
        <v>0</v>
      </c>
      <c r="H1583">
        <v>0</v>
      </c>
      <c r="I1583">
        <f t="shared" si="96"/>
        <v>0</v>
      </c>
      <c r="J1583">
        <f t="shared" si="97"/>
        <v>0</v>
      </c>
      <c r="K1583">
        <f t="shared" si="98"/>
        <v>0</v>
      </c>
      <c r="L1583">
        <f t="shared" si="99"/>
        <v>0</v>
      </c>
    </row>
    <row r="1584" spans="1:12" x14ac:dyDescent="0.25">
      <c r="A1584" t="s">
        <v>1775</v>
      </c>
      <c r="B1584" t="s">
        <v>286</v>
      </c>
      <c r="C1584">
        <v>10</v>
      </c>
      <c r="G1584">
        <v>10</v>
      </c>
      <c r="H1584">
        <v>0</v>
      </c>
      <c r="I1584">
        <f t="shared" si="96"/>
        <v>1</v>
      </c>
      <c r="J1584">
        <f t="shared" si="97"/>
        <v>0</v>
      </c>
      <c r="K1584">
        <f t="shared" si="98"/>
        <v>0</v>
      </c>
      <c r="L1584">
        <f t="shared" si="99"/>
        <v>0</v>
      </c>
    </row>
    <row r="1585" spans="1:12" x14ac:dyDescent="0.25">
      <c r="A1585" t="s">
        <v>1776</v>
      </c>
      <c r="B1585" t="s">
        <v>1359</v>
      </c>
      <c r="C1585">
        <v>6</v>
      </c>
      <c r="G1585">
        <v>6</v>
      </c>
      <c r="H1585">
        <v>0</v>
      </c>
      <c r="I1585">
        <f t="shared" si="96"/>
        <v>1</v>
      </c>
      <c r="J1585">
        <f t="shared" si="97"/>
        <v>0</v>
      </c>
      <c r="K1585">
        <f t="shared" si="98"/>
        <v>0</v>
      </c>
      <c r="L1585">
        <f t="shared" si="99"/>
        <v>0</v>
      </c>
    </row>
    <row r="1586" spans="1:12" x14ac:dyDescent="0.25">
      <c r="A1586" t="s">
        <v>1777</v>
      </c>
      <c r="B1586" t="s">
        <v>62</v>
      </c>
      <c r="C1586">
        <v>4</v>
      </c>
      <c r="G1586">
        <v>4</v>
      </c>
      <c r="H1586">
        <v>0</v>
      </c>
      <c r="I1586">
        <f t="shared" si="96"/>
        <v>1</v>
      </c>
      <c r="J1586">
        <f t="shared" si="97"/>
        <v>0</v>
      </c>
      <c r="K1586">
        <f t="shared" si="98"/>
        <v>0</v>
      </c>
      <c r="L1586">
        <f t="shared" si="99"/>
        <v>0</v>
      </c>
    </row>
    <row r="1587" spans="1:12" x14ac:dyDescent="0.25">
      <c r="A1587" t="s">
        <v>1778</v>
      </c>
      <c r="B1587" t="s">
        <v>62</v>
      </c>
      <c r="C1587">
        <v>10</v>
      </c>
      <c r="G1587">
        <v>10</v>
      </c>
      <c r="H1587">
        <v>0</v>
      </c>
      <c r="I1587">
        <f t="shared" si="96"/>
        <v>1</v>
      </c>
      <c r="J1587">
        <f t="shared" si="97"/>
        <v>0</v>
      </c>
      <c r="K1587">
        <f t="shared" si="98"/>
        <v>0</v>
      </c>
      <c r="L1587">
        <f t="shared" si="99"/>
        <v>0</v>
      </c>
    </row>
    <row r="1588" spans="1:12" x14ac:dyDescent="0.25">
      <c r="A1588" t="s">
        <v>1779</v>
      </c>
      <c r="B1588" t="s">
        <v>62</v>
      </c>
      <c r="C1588">
        <v>6</v>
      </c>
      <c r="G1588">
        <v>6</v>
      </c>
      <c r="H1588">
        <v>0</v>
      </c>
      <c r="I1588">
        <f t="shared" si="96"/>
        <v>1</v>
      </c>
      <c r="J1588">
        <f t="shared" si="97"/>
        <v>0</v>
      </c>
      <c r="K1588">
        <f t="shared" si="98"/>
        <v>0</v>
      </c>
      <c r="L1588">
        <f t="shared" si="99"/>
        <v>0</v>
      </c>
    </row>
    <row r="1589" spans="1:12" x14ac:dyDescent="0.25">
      <c r="A1589" t="s">
        <v>1780</v>
      </c>
      <c r="B1589" t="s">
        <v>294</v>
      </c>
      <c r="C1589">
        <v>0</v>
      </c>
      <c r="G1589">
        <v>0</v>
      </c>
      <c r="H1589">
        <v>0</v>
      </c>
      <c r="I1589">
        <f t="shared" si="96"/>
        <v>0</v>
      </c>
      <c r="J1589">
        <f t="shared" si="97"/>
        <v>0</v>
      </c>
      <c r="K1589">
        <f t="shared" si="98"/>
        <v>0</v>
      </c>
      <c r="L1589">
        <f t="shared" si="99"/>
        <v>0</v>
      </c>
    </row>
    <row r="1590" spans="1:12" x14ac:dyDescent="0.25">
      <c r="A1590" t="s">
        <v>1781</v>
      </c>
      <c r="B1590" t="s">
        <v>1407</v>
      </c>
      <c r="C1590">
        <v>0</v>
      </c>
      <c r="G1590">
        <v>0</v>
      </c>
      <c r="H1590">
        <v>0</v>
      </c>
      <c r="I1590">
        <f t="shared" si="96"/>
        <v>0</v>
      </c>
      <c r="J1590">
        <f t="shared" si="97"/>
        <v>0</v>
      </c>
      <c r="K1590">
        <f t="shared" si="98"/>
        <v>0</v>
      </c>
      <c r="L1590">
        <f t="shared" si="99"/>
        <v>0</v>
      </c>
    </row>
    <row r="1591" spans="1:12" x14ac:dyDescent="0.25">
      <c r="A1591" t="s">
        <v>1782</v>
      </c>
      <c r="B1591" t="s">
        <v>1409</v>
      </c>
      <c r="C1591">
        <v>10</v>
      </c>
      <c r="G1591">
        <v>10</v>
      </c>
      <c r="H1591">
        <v>0</v>
      </c>
      <c r="I1591">
        <f t="shared" si="96"/>
        <v>1</v>
      </c>
      <c r="J1591">
        <f t="shared" si="97"/>
        <v>0</v>
      </c>
      <c r="K1591">
        <f t="shared" si="98"/>
        <v>0</v>
      </c>
      <c r="L1591">
        <f t="shared" si="99"/>
        <v>0</v>
      </c>
    </row>
    <row r="1592" spans="1:12" x14ac:dyDescent="0.25">
      <c r="A1592" t="s">
        <v>1783</v>
      </c>
      <c r="B1592" t="s">
        <v>64</v>
      </c>
      <c r="C1592">
        <v>0</v>
      </c>
      <c r="G1592">
        <v>0</v>
      </c>
      <c r="H1592">
        <v>0</v>
      </c>
      <c r="I1592">
        <f t="shared" si="96"/>
        <v>0</v>
      </c>
      <c r="J1592">
        <f t="shared" si="97"/>
        <v>0</v>
      </c>
      <c r="K1592">
        <f t="shared" si="98"/>
        <v>0</v>
      </c>
      <c r="L1592">
        <f t="shared" si="99"/>
        <v>0</v>
      </c>
    </row>
    <row r="1593" spans="1:12" x14ac:dyDescent="0.25">
      <c r="A1593" t="s">
        <v>1784</v>
      </c>
      <c r="B1593" t="s">
        <v>66</v>
      </c>
      <c r="C1593">
        <v>16</v>
      </c>
      <c r="G1593">
        <v>16</v>
      </c>
      <c r="H1593">
        <v>0</v>
      </c>
      <c r="I1593">
        <f t="shared" si="96"/>
        <v>1</v>
      </c>
      <c r="J1593">
        <f t="shared" si="97"/>
        <v>0</v>
      </c>
      <c r="K1593">
        <f t="shared" si="98"/>
        <v>0</v>
      </c>
      <c r="L1593">
        <f t="shared" si="99"/>
        <v>0</v>
      </c>
    </row>
    <row r="1594" spans="1:12" x14ac:dyDescent="0.25">
      <c r="A1594" t="s">
        <v>1785</v>
      </c>
      <c r="B1594" t="s">
        <v>321</v>
      </c>
      <c r="C1594">
        <v>12</v>
      </c>
      <c r="G1594">
        <v>12</v>
      </c>
      <c r="H1594">
        <v>0</v>
      </c>
      <c r="I1594">
        <f t="shared" si="96"/>
        <v>1</v>
      </c>
      <c r="J1594">
        <f t="shared" si="97"/>
        <v>0</v>
      </c>
      <c r="K1594">
        <f t="shared" si="98"/>
        <v>0</v>
      </c>
      <c r="L1594">
        <f t="shared" si="99"/>
        <v>0</v>
      </c>
    </row>
    <row r="1595" spans="1:12" x14ac:dyDescent="0.25">
      <c r="A1595" t="s">
        <v>1786</v>
      </c>
      <c r="B1595" t="s">
        <v>321</v>
      </c>
      <c r="C1595">
        <v>12</v>
      </c>
      <c r="G1595">
        <v>12</v>
      </c>
      <c r="H1595">
        <v>0</v>
      </c>
      <c r="I1595">
        <f t="shared" si="96"/>
        <v>1</v>
      </c>
      <c r="J1595">
        <f t="shared" si="97"/>
        <v>0</v>
      </c>
      <c r="K1595">
        <f t="shared" si="98"/>
        <v>0</v>
      </c>
      <c r="L1595">
        <f t="shared" si="99"/>
        <v>0</v>
      </c>
    </row>
    <row r="1596" spans="1:12" x14ac:dyDescent="0.25">
      <c r="A1596" t="s">
        <v>1787</v>
      </c>
      <c r="B1596" t="s">
        <v>75</v>
      </c>
      <c r="C1596">
        <v>2</v>
      </c>
      <c r="G1596">
        <v>2</v>
      </c>
      <c r="H1596">
        <v>0</v>
      </c>
      <c r="I1596">
        <f t="shared" si="96"/>
        <v>1</v>
      </c>
      <c r="J1596">
        <f t="shared" si="97"/>
        <v>0</v>
      </c>
      <c r="K1596">
        <f t="shared" si="98"/>
        <v>0</v>
      </c>
      <c r="L1596">
        <f t="shared" si="99"/>
        <v>0</v>
      </c>
    </row>
    <row r="1597" spans="1:12" x14ac:dyDescent="0.25">
      <c r="A1597" t="s">
        <v>1788</v>
      </c>
      <c r="B1597" t="s">
        <v>75</v>
      </c>
      <c r="C1597">
        <v>4</v>
      </c>
      <c r="G1597">
        <v>4</v>
      </c>
      <c r="H1597">
        <v>0</v>
      </c>
      <c r="I1597">
        <f t="shared" si="96"/>
        <v>1</v>
      </c>
      <c r="J1597">
        <f t="shared" si="97"/>
        <v>0</v>
      </c>
      <c r="K1597">
        <f t="shared" si="98"/>
        <v>0</v>
      </c>
      <c r="L1597">
        <f t="shared" si="99"/>
        <v>0</v>
      </c>
    </row>
    <row r="1598" spans="1:12" x14ac:dyDescent="0.25">
      <c r="A1598" t="s">
        <v>1789</v>
      </c>
      <c r="B1598" t="s">
        <v>75</v>
      </c>
      <c r="C1598">
        <v>6</v>
      </c>
      <c r="G1598">
        <v>6</v>
      </c>
      <c r="H1598">
        <v>0</v>
      </c>
      <c r="I1598">
        <f t="shared" si="96"/>
        <v>1</v>
      </c>
      <c r="J1598">
        <f t="shared" si="97"/>
        <v>0</v>
      </c>
      <c r="K1598">
        <f t="shared" si="98"/>
        <v>0</v>
      </c>
      <c r="L1598">
        <f t="shared" si="99"/>
        <v>0</v>
      </c>
    </row>
    <row r="1599" spans="1:12" x14ac:dyDescent="0.25">
      <c r="A1599" t="s">
        <v>1790</v>
      </c>
      <c r="B1599" t="s">
        <v>362</v>
      </c>
      <c r="C1599">
        <v>2</v>
      </c>
      <c r="G1599">
        <v>2</v>
      </c>
      <c r="H1599">
        <v>0</v>
      </c>
      <c r="I1599">
        <f t="shared" si="96"/>
        <v>1</v>
      </c>
      <c r="J1599">
        <f t="shared" si="97"/>
        <v>0</v>
      </c>
      <c r="K1599">
        <f t="shared" si="98"/>
        <v>0</v>
      </c>
      <c r="L1599">
        <f t="shared" si="99"/>
        <v>0</v>
      </c>
    </row>
    <row r="1600" spans="1:12" x14ac:dyDescent="0.25">
      <c r="A1600" t="s">
        <v>1791</v>
      </c>
      <c r="B1600" t="s">
        <v>362</v>
      </c>
      <c r="C1600">
        <v>0</v>
      </c>
      <c r="G1600">
        <v>0</v>
      </c>
      <c r="H1600">
        <v>0</v>
      </c>
      <c r="I1600">
        <f t="shared" si="96"/>
        <v>0</v>
      </c>
      <c r="J1600">
        <f t="shared" si="97"/>
        <v>0</v>
      </c>
      <c r="K1600">
        <f t="shared" si="98"/>
        <v>0</v>
      </c>
      <c r="L1600">
        <f t="shared" si="99"/>
        <v>0</v>
      </c>
    </row>
    <row r="1601" spans="1:12" x14ac:dyDescent="0.25">
      <c r="A1601" t="s">
        <v>1792</v>
      </c>
      <c r="B1601" t="s">
        <v>368</v>
      </c>
      <c r="C1601">
        <v>14</v>
      </c>
      <c r="G1601">
        <v>14</v>
      </c>
      <c r="H1601">
        <v>0</v>
      </c>
      <c r="I1601">
        <f t="shared" si="96"/>
        <v>1</v>
      </c>
      <c r="J1601">
        <f t="shared" si="97"/>
        <v>0</v>
      </c>
      <c r="K1601">
        <f t="shared" si="98"/>
        <v>0</v>
      </c>
      <c r="L1601">
        <f t="shared" si="99"/>
        <v>0</v>
      </c>
    </row>
    <row r="1602" spans="1:12" x14ac:dyDescent="0.25">
      <c r="A1602" t="s">
        <v>1793</v>
      </c>
      <c r="B1602" t="s">
        <v>368</v>
      </c>
      <c r="C1602">
        <v>0</v>
      </c>
      <c r="G1602">
        <v>0</v>
      </c>
      <c r="H1602">
        <v>0</v>
      </c>
      <c r="I1602">
        <f t="shared" si="96"/>
        <v>0</v>
      </c>
      <c r="J1602">
        <f t="shared" si="97"/>
        <v>0</v>
      </c>
      <c r="K1602">
        <f t="shared" si="98"/>
        <v>0</v>
      </c>
      <c r="L1602">
        <f t="shared" si="9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% of leaves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Benita Adakeja</cp:lastModifiedBy>
  <dcterms:created xsi:type="dcterms:W3CDTF">2025-12-11T15:01:47Z</dcterms:created>
  <dcterms:modified xsi:type="dcterms:W3CDTF">2025-12-11T15:31:43Z</dcterms:modified>
</cp:coreProperties>
</file>